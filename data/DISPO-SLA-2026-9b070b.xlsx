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A-1\"/>
    </mc:Choice>
  </mc:AlternateContent>
  <xr:revisionPtr revIDLastSave="0" documentId="13_ncr:1_{78F8F4C7-3646-466E-8816-7D9E02479294}" xr6:coauthVersionLast="47" xr6:coauthVersionMax="47" xr10:uidLastSave="{00000000-0000-0000-0000-000000000000}"/>
  <bookViews>
    <workbookView xWindow="-120" yWindow="-120" windowWidth="20730" windowHeight="11040" activeTab="1" xr2:uid="{70E4C117-EC4B-4853-9144-2AD86A047027}"/>
  </bookViews>
  <sheets>
    <sheet name="CAPAIAN NON ASSET" sheetId="3" r:id="rId1"/>
    <sheet name="DISPO SLA" sheetId="1" r:id="rId2"/>
    <sheet name="ASSET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5" i="1" l="1"/>
  <c r="AC165" i="1" s="1"/>
  <c r="AA164" i="1" l="1"/>
  <c r="AC164" i="1" s="1"/>
  <c r="Z164" i="1" l="1"/>
  <c r="AB164" i="1" s="1"/>
  <c r="AA143" i="1" l="1"/>
  <c r="AC143" i="1" s="1"/>
  <c r="AA144" i="1"/>
  <c r="AC144" i="1" s="1"/>
  <c r="AA145" i="1"/>
  <c r="AC145" i="1" s="1"/>
  <c r="AA146" i="1"/>
  <c r="AC146" i="1" s="1"/>
  <c r="AA147" i="1"/>
  <c r="AC147" i="1" s="1"/>
  <c r="AA148" i="1"/>
  <c r="AC148" i="1" s="1"/>
  <c r="AA149" i="1"/>
  <c r="AC149" i="1" s="1"/>
  <c r="AA150" i="1"/>
  <c r="AC150" i="1" s="1"/>
  <c r="AA151" i="1"/>
  <c r="AC151" i="1" s="1"/>
  <c r="AA152" i="1"/>
  <c r="AC152" i="1" s="1"/>
  <c r="AA153" i="1"/>
  <c r="AC153" i="1" s="1"/>
  <c r="AA154" i="1"/>
  <c r="AC154" i="1" s="1"/>
  <c r="AA155" i="1"/>
  <c r="AC155" i="1" s="1"/>
  <c r="AA156" i="1"/>
  <c r="AC156" i="1" s="1"/>
  <c r="AA157" i="1"/>
  <c r="AC157" i="1" s="1"/>
  <c r="AA158" i="1"/>
  <c r="AC158" i="1" s="1"/>
  <c r="AA159" i="1"/>
  <c r="AC159" i="1" s="1"/>
  <c r="AA160" i="1"/>
  <c r="AC160" i="1" s="1"/>
  <c r="AA161" i="1"/>
  <c r="AC161" i="1" s="1"/>
  <c r="AA162" i="1"/>
  <c r="AC162" i="1" s="1"/>
  <c r="AA163" i="1"/>
  <c r="AC163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AA6" i="1" l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AA32" i="1"/>
  <c r="AC32" i="1" s="1"/>
  <c r="AA33" i="1"/>
  <c r="AC33" i="1" s="1"/>
  <c r="AA34" i="1"/>
  <c r="AC34" i="1" s="1"/>
  <c r="AA35" i="1"/>
  <c r="AC35" i="1" s="1"/>
  <c r="AA36" i="1"/>
  <c r="AC36" i="1" s="1"/>
  <c r="AA37" i="1"/>
  <c r="AC37" i="1" s="1"/>
  <c r="AA38" i="1"/>
  <c r="AC38" i="1" s="1"/>
  <c r="AA39" i="1"/>
  <c r="AC39" i="1" s="1"/>
  <c r="AA40" i="1"/>
  <c r="AC40" i="1" s="1"/>
  <c r="AA41" i="1"/>
  <c r="AC41" i="1" s="1"/>
  <c r="AA42" i="1"/>
  <c r="AC42" i="1" s="1"/>
  <c r="AA43" i="1"/>
  <c r="AC43" i="1" s="1"/>
  <c r="AA44" i="1"/>
  <c r="AC44" i="1" s="1"/>
  <c r="AA45" i="1"/>
  <c r="AC45" i="1" s="1"/>
  <c r="AA46" i="1"/>
  <c r="AC46" i="1" s="1"/>
  <c r="AA47" i="1"/>
  <c r="AC47" i="1" s="1"/>
  <c r="AA48" i="1"/>
  <c r="AC48" i="1" s="1"/>
  <c r="AA49" i="1"/>
  <c r="AC49" i="1" s="1"/>
  <c r="AA50" i="1"/>
  <c r="AC50" i="1" s="1"/>
  <c r="AA51" i="1"/>
  <c r="AC51" i="1" s="1"/>
  <c r="AA52" i="1"/>
  <c r="AC52" i="1" s="1"/>
  <c r="AA53" i="1"/>
  <c r="AC53" i="1" s="1"/>
  <c r="AA54" i="1"/>
  <c r="AC54" i="1" s="1"/>
  <c r="AA55" i="1"/>
  <c r="AC55" i="1" s="1"/>
  <c r="AA56" i="1"/>
  <c r="AC56" i="1" s="1"/>
  <c r="AA57" i="1"/>
  <c r="AC57" i="1" s="1"/>
  <c r="AA58" i="1"/>
  <c r="AC58" i="1" s="1"/>
  <c r="AA59" i="1"/>
  <c r="AC59" i="1" s="1"/>
  <c r="AA60" i="1"/>
  <c r="AC60" i="1" s="1"/>
  <c r="AA61" i="1"/>
  <c r="AC61" i="1" s="1"/>
  <c r="AA62" i="1"/>
  <c r="AC62" i="1" s="1"/>
  <c r="AA63" i="1"/>
  <c r="AC63" i="1" s="1"/>
  <c r="AA64" i="1"/>
  <c r="AC64" i="1" s="1"/>
  <c r="AA65" i="1"/>
  <c r="AC65" i="1" s="1"/>
  <c r="AA66" i="1"/>
  <c r="AC66" i="1" s="1"/>
  <c r="AA67" i="1"/>
  <c r="AC67" i="1" s="1"/>
  <c r="AA68" i="1"/>
  <c r="AC68" i="1" s="1"/>
  <c r="AA69" i="1"/>
  <c r="AC69" i="1" s="1"/>
  <c r="AA70" i="1"/>
  <c r="AC70" i="1" s="1"/>
  <c r="AA71" i="1"/>
  <c r="AC71" i="1" s="1"/>
  <c r="AA72" i="1"/>
  <c r="AC72" i="1" s="1"/>
  <c r="AA73" i="1"/>
  <c r="AC73" i="1" s="1"/>
  <c r="AA74" i="1"/>
  <c r="AC74" i="1" s="1"/>
  <c r="AA75" i="1"/>
  <c r="AC75" i="1" s="1"/>
  <c r="AA76" i="1"/>
  <c r="AC76" i="1" s="1"/>
  <c r="AA77" i="1"/>
  <c r="AC77" i="1" s="1"/>
  <c r="AA78" i="1"/>
  <c r="AC78" i="1" s="1"/>
  <c r="AA79" i="1"/>
  <c r="AC79" i="1" s="1"/>
  <c r="AA80" i="1"/>
  <c r="AC80" i="1" s="1"/>
  <c r="AA5" i="1"/>
  <c r="AC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AB68" i="1" s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5" i="1"/>
  <c r="AB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Miranty D. S</author>
  </authors>
  <commentList>
    <comment ref="Q5" authorId="0" shapeId="0" xr:uid="{78A22489-A175-44D1-A43D-BDEBBFD753E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JAN 2026</t>
        </r>
      </text>
    </comment>
    <comment ref="R5" authorId="0" shapeId="0" xr:uid="{F4D1757A-F60A-4883-B311-550DFCCD321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JAN 2026</t>
        </r>
      </text>
    </comment>
    <comment ref="Q6" authorId="0" shapeId="0" xr:uid="{B2C3307E-911D-437A-976D-7067E50820F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JAN 2026</t>
        </r>
      </text>
    </comment>
    <comment ref="R6" authorId="0" shapeId="0" xr:uid="{104B0DA4-1C15-4305-BF9C-46151109F43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JAN 2026</t>
        </r>
      </text>
    </comment>
    <comment ref="S6" authorId="0" shapeId="0" xr:uid="{80FE124D-C89D-499B-B7DC-5AD5FA49E15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JAN 2026</t>
        </r>
      </text>
    </comment>
    <comment ref="Q8" authorId="0" shapeId="0" xr:uid="{8B3A3141-6CCA-4FF5-8893-CFAF1A8850F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JAN 2026</t>
        </r>
      </text>
    </comment>
    <comment ref="R8" authorId="0" shapeId="0" xr:uid="{6566DF5A-A698-48B8-A8F1-081DDF2539D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JAN 2026</t>
        </r>
      </text>
    </comment>
    <comment ref="Q9" authorId="0" shapeId="0" xr:uid="{15CD6427-3A74-4ABF-BDE5-0DAF176A2B1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JAN 2026</t>
        </r>
      </text>
    </comment>
    <comment ref="R9" authorId="0" shapeId="0" xr:uid="{9806B5FD-4B4E-4AFE-A8EF-90EF62B2C2D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JAN 2026</t>
        </r>
      </text>
    </comment>
    <comment ref="Q10" authorId="0" shapeId="0" xr:uid="{3EC6C597-FCAB-4F9B-A51F-A9C36C0648A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JAN 2026</t>
        </r>
      </text>
    </comment>
    <comment ref="R10" authorId="0" shapeId="0" xr:uid="{761D0B75-53AF-4E9F-8A10-9109FB57338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JAN 2026</t>
        </r>
      </text>
    </comment>
    <comment ref="Q11" authorId="0" shapeId="0" xr:uid="{877A2AC1-21E4-4268-B073-3A325C98DCA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JAN 2026</t>
        </r>
      </text>
    </comment>
    <comment ref="R11" authorId="0" shapeId="0" xr:uid="{66753A4F-FA20-434D-86CB-D2216E2DFC3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JAN 2026</t>
        </r>
      </text>
    </comment>
    <comment ref="Q13" authorId="0" shapeId="0" xr:uid="{167F219E-2840-49DD-9D7D-35780EB0EBC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JAN 2026</t>
        </r>
      </text>
    </comment>
    <comment ref="R13" authorId="0" shapeId="0" xr:uid="{58EDA6E1-1C79-416F-917F-E998EE57D6D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JAN 2026</t>
        </r>
      </text>
    </comment>
    <comment ref="Q14" authorId="0" shapeId="0" xr:uid="{F470C7DE-E165-48B0-B1D4-3BED240C37F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FEB 2026
</t>
        </r>
      </text>
    </comment>
    <comment ref="R14" authorId="0" shapeId="0" xr:uid="{3FB96332-2C0B-4290-B34F-BA310D00932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FEB 2026</t>
        </r>
      </text>
    </comment>
    <comment ref="Q15" authorId="0" shapeId="0" xr:uid="{3F556ECA-9946-4574-8D94-B7B66B3EA3D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FEB 2026
</t>
        </r>
      </text>
    </comment>
    <comment ref="R15" authorId="0" shapeId="0" xr:uid="{099BFFAC-8A8E-4B94-B8DC-DD9A4B4E8C6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FEB 2026</t>
        </r>
      </text>
    </comment>
    <comment ref="Q16" authorId="0" shapeId="0" xr:uid="{38B25433-F9E8-466D-9145-0EA4B83B144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</t>
        </r>
      </text>
    </comment>
    <comment ref="R16" authorId="0" shapeId="0" xr:uid="{188CD9D4-1F08-4433-B1D3-01B2906E377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
</t>
        </r>
      </text>
    </comment>
    <comment ref="S16" authorId="0" shapeId="0" xr:uid="{20E27F20-3F8D-4D32-8BF8-DB2BDC3DE15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
</t>
        </r>
      </text>
    </comment>
    <comment ref="T16" authorId="0" shapeId="0" xr:uid="{CEE6D552-338F-4EFF-B509-524A6DB5553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MAR 2026
</t>
        </r>
      </text>
    </comment>
    <comment ref="U16" authorId="0" shapeId="0" xr:uid="{341903DA-BF29-41FF-8C44-5998D4E7AC6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 APR 2026</t>
        </r>
      </text>
    </comment>
    <comment ref="V16" authorId="0" shapeId="0" xr:uid="{144B8019-E5B1-48D5-9882-F3291EA13E2A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7 APR 2026
</t>
        </r>
      </text>
    </comment>
    <comment ref="W16" authorId="0" shapeId="0" xr:uid="{6107BF7D-DECD-4F8C-9E06-776DFA9A4E7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17" authorId="0" shapeId="0" xr:uid="{B96FF9E5-A562-474C-9D2F-F6F1A872D49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FEB 2026</t>
        </r>
      </text>
    </comment>
    <comment ref="R17" authorId="0" shapeId="0" xr:uid="{2A8E5B9E-1C54-4388-B79A-A0C98E7BFAF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FEB 2026</t>
        </r>
      </text>
    </comment>
    <comment ref="Q18" authorId="0" shapeId="0" xr:uid="{A726C8BA-8694-43DD-A074-5F4CBE79B64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FEB 2026</t>
        </r>
      </text>
    </comment>
    <comment ref="R18" authorId="0" shapeId="0" xr:uid="{ADE5A4E6-F290-4CEB-A132-7FFBEEF2BF3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FEB 2026</t>
        </r>
      </text>
    </comment>
    <comment ref="Q19" authorId="0" shapeId="0" xr:uid="{04EFB103-253B-4580-93BC-25E518A9FDF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FEB 2026</t>
        </r>
      </text>
    </comment>
    <comment ref="R19" authorId="0" shapeId="0" xr:uid="{352AF946-B396-4E88-B12C-419FC664EB1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FEB 2026</t>
        </r>
      </text>
    </comment>
    <comment ref="Q20" authorId="0" shapeId="0" xr:uid="{06ACA177-AB38-42B9-8CA4-B71F845E4E9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FEB 2026</t>
        </r>
      </text>
    </comment>
    <comment ref="R20" authorId="0" shapeId="0" xr:uid="{CCA75722-64A6-46F3-8C55-3F00C466FE3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FEB 2026</t>
        </r>
      </text>
    </comment>
    <comment ref="Q21" authorId="0" shapeId="0" xr:uid="{BE3351DE-3152-4A52-B024-1DE33A0D709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FEB 2026</t>
        </r>
      </text>
    </comment>
    <comment ref="R21" authorId="0" shapeId="0" xr:uid="{B3DA1662-7C60-4D45-AAFB-4046E56FD4E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FEB 2026</t>
        </r>
      </text>
    </comment>
    <comment ref="Q22" authorId="0" shapeId="0" xr:uid="{A5C87706-7741-4ABF-A64B-8E83621241B7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R22" authorId="0" shapeId="0" xr:uid="{3061F3AB-343A-46B8-A7A4-53219F18C13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Q23" authorId="0" shapeId="0" xr:uid="{3D460783-5EFC-476A-B505-70A6B3E538C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R23" authorId="0" shapeId="0" xr:uid="{FBD98046-A804-45E5-B784-4489A0B2A3B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Q24" authorId="0" shapeId="0" xr:uid="{46FCA244-2922-49D1-8716-80407BFD2FD7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R24" authorId="0" shapeId="0" xr:uid="{001D4590-6182-4795-B2FB-259E4A9C10DE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Q25" authorId="0" shapeId="0" xr:uid="{A44A0AF2-3A06-419A-A53D-F4D43F63F8D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FEB 2026</t>
        </r>
      </text>
    </comment>
    <comment ref="R25" authorId="0" shapeId="0" xr:uid="{10856463-C772-4F76-9E4B-489A0E0D487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</t>
        </r>
      </text>
    </comment>
    <comment ref="Q26" authorId="0" shapeId="0" xr:uid="{379FEEE6-62EE-4106-B886-EB736C5CA34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FEB 2026
</t>
        </r>
      </text>
    </comment>
    <comment ref="R26" authorId="0" shapeId="0" xr:uid="{D50221FE-D8D1-4C8A-875C-1499C5655C4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Q27" authorId="0" shapeId="0" xr:uid="{B5D0F527-FB24-4E0B-9073-D8CF9094BF9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FEB 2026
</t>
        </r>
      </text>
    </comment>
    <comment ref="R27" authorId="0" shapeId="0" xr:uid="{AD23E418-3477-47A9-91A5-D5F94592CA8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
</t>
        </r>
      </text>
    </comment>
    <comment ref="S27" authorId="0" shapeId="0" xr:uid="{D5BDFEDE-3F62-4DC8-85FA-73AE6E7F7A8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</t>
        </r>
      </text>
    </comment>
    <comment ref="Q28" authorId="0" shapeId="0" xr:uid="{DADC2DC1-1A82-4072-917F-E893FFC9487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
</t>
        </r>
      </text>
    </comment>
    <comment ref="R28" authorId="0" shapeId="0" xr:uid="{A0705B11-3BCB-4FAD-B0ED-4F660E51D55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 MAR 2026</t>
        </r>
      </text>
    </comment>
    <comment ref="Q29" authorId="0" shapeId="0" xr:uid="{B9A920BA-C9AF-41CE-8BC5-9FC789B4D59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R29" authorId="0" shapeId="0" xr:uid="{E28EF615-D1E4-41CF-808E-A90065B9E98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Q30" authorId="0" shapeId="0" xr:uid="{02F864AF-1B3A-4FF7-935F-0C335BFC880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R30" authorId="0" shapeId="0" xr:uid="{D1BC5CC7-9F4D-4CCA-97AE-3A3C9B9D1F6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MAR 2026</t>
        </r>
      </text>
    </comment>
    <comment ref="S30" authorId="0" shapeId="0" xr:uid="{F9CDA1A3-2907-460F-A932-397BCFE06F8B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16 MAR 2026</t>
        </r>
      </text>
    </comment>
    <comment ref="Q31" authorId="0" shapeId="0" xr:uid="{F9CE328A-0A69-4B06-AE5B-ED511C1B5A3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27 FEB 2026</t>
        </r>
      </text>
    </comment>
    <comment ref="R31" authorId="0" shapeId="0" xr:uid="{8BE5D6EF-76CD-42E0-889A-BE3999B1BC6C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3 MAR 2026</t>
        </r>
      </text>
    </comment>
    <comment ref="Q32" authorId="0" shapeId="0" xr:uid="{A205BE1B-BB11-4AEB-91EF-93DE730E41E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27 FEB 2026</t>
        </r>
      </text>
    </comment>
    <comment ref="R32" authorId="0" shapeId="0" xr:uid="{556B205D-5197-405E-B533-A24B29D76C39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 MAR 2026</t>
        </r>
      </text>
    </comment>
    <comment ref="Q34" authorId="0" shapeId="0" xr:uid="{6DF12565-9A22-4C78-AF7E-538F479D6CA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MAR 2026</t>
        </r>
      </text>
    </comment>
    <comment ref="R34" authorId="0" shapeId="0" xr:uid="{78D97038-7CC9-4241-AA15-9248BF03585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MAR 2026
</t>
        </r>
      </text>
    </comment>
    <comment ref="Q36" authorId="0" shapeId="0" xr:uid="{CEC2B897-E5E5-4071-9808-F0EE26CC024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MAR 2026</t>
        </r>
      </text>
    </comment>
    <comment ref="R36" authorId="0" shapeId="0" xr:uid="{283E19CA-772E-4314-A3B5-0012CE53B68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MAR 2026</t>
        </r>
      </text>
    </comment>
    <comment ref="Q37" authorId="0" shapeId="0" xr:uid="{29C9CAA7-4076-425A-A865-D53DAA8B968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MAR 2026</t>
        </r>
      </text>
    </comment>
    <comment ref="R37" authorId="0" shapeId="0" xr:uid="{F5DCE5DF-DE90-4587-A35F-43CD04104D9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MAR 2026</t>
        </r>
      </text>
    </comment>
    <comment ref="Q38" authorId="0" shapeId="0" xr:uid="{81CB1503-1446-4E39-99A9-5CFAEE37E90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MAR 2026</t>
        </r>
      </text>
    </comment>
    <comment ref="R38" authorId="0" shapeId="0" xr:uid="{D9AEDF90-508D-401B-A261-A93EC5BE0737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13 MAR 2026</t>
        </r>
      </text>
    </comment>
    <comment ref="S38" authorId="0" shapeId="0" xr:uid="{66A8AE3C-F5E8-4180-91A8-A44FE8B80A1E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13 MAR 2026
</t>
        </r>
      </text>
    </comment>
    <comment ref="T38" authorId="0" shapeId="0" xr:uid="{D4F9D34A-1C45-416B-92A4-FE2D618D167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MAR 2026</t>
        </r>
      </text>
    </comment>
    <comment ref="Q39" authorId="0" shapeId="0" xr:uid="{88924959-A9F1-4173-B728-B7FED62AE12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MAR 2026</t>
        </r>
      </text>
    </comment>
    <comment ref="R39" authorId="0" shapeId="0" xr:uid="{10BD51B4-1976-4B23-BBAF-D9EA6E2EA2B9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11 MAR 2026
</t>
        </r>
      </text>
    </comment>
    <comment ref="Q40" authorId="0" shapeId="0" xr:uid="{A5E7FA7C-FC99-42E0-8D07-56F8BE84AA2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MAR 2026</t>
        </r>
      </text>
    </comment>
    <comment ref="R40" authorId="0" shapeId="0" xr:uid="{1857ED87-85F1-4739-A6E5-949E590406C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MAR 2026</t>
        </r>
      </text>
    </comment>
    <comment ref="Q41" authorId="0" shapeId="0" xr:uid="{CFAF80C9-28C4-4389-AAA6-D3FCA27E13F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27 MAR 2026</t>
        </r>
      </text>
    </comment>
    <comment ref="R41" authorId="0" shapeId="0" xr:uid="{D3C4C3C5-09EB-46A0-920F-07DD7E575DB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MAR 2026
</t>
        </r>
      </text>
    </comment>
    <comment ref="S41" authorId="0" shapeId="0" xr:uid="{ADF882A3-FF84-4789-93E8-9C99A1238995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Q43" authorId="0" shapeId="0" xr:uid="{492447DA-0FED-4FF5-A0D0-AC81D400EAA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April 2026
</t>
        </r>
      </text>
    </comment>
    <comment ref="R43" authorId="0" shapeId="0" xr:uid="{C74DF510-073D-4EC2-8B97-CC211E44BD7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 APR 2026</t>
        </r>
      </text>
    </comment>
    <comment ref="S43" authorId="0" shapeId="0" xr:uid="{14A5C6F2-B9DC-4FBE-B503-54C5F8BD774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 APR 2026
</t>
        </r>
      </text>
    </comment>
    <comment ref="Q44" authorId="0" shapeId="0" xr:uid="{A158896E-AC31-4025-9F19-089DA40D835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APR 2026</t>
        </r>
      </text>
    </comment>
    <comment ref="R44" authorId="0" shapeId="0" xr:uid="{1DB510D4-EA85-487C-B9B1-5DAC9BC1744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APR 2026</t>
        </r>
      </text>
    </comment>
    <comment ref="Q45" authorId="0" shapeId="0" xr:uid="{CF4F3F29-E45B-4B75-BD34-21FE5437B1E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R45" authorId="0" shapeId="0" xr:uid="{5C397BBD-FF49-45CC-9B9E-228BA210C6D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46" authorId="0" shapeId="0" xr:uid="{5CD46972-4B2A-44E0-B536-7A1CE1DA439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R46" authorId="0" shapeId="0" xr:uid="{2B355106-8291-4087-A092-5EBFBF4F046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47" authorId="0" shapeId="0" xr:uid="{380047ED-A3AC-4983-AA4F-57F42B24B10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R47" authorId="0" shapeId="0" xr:uid="{6D8AAFD7-BB26-4D27-86D1-A9905FB2F2D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10 APR 2026</t>
        </r>
      </text>
    </comment>
    <comment ref="Q48" authorId="0" shapeId="0" xr:uid="{6700BF1D-4840-44C9-8861-49EC9E6A4B5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R48" authorId="0" shapeId="0" xr:uid="{5B9A8907-B3EA-4C51-BBB6-04548AB21A0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49" authorId="0" shapeId="0" xr:uid="{4AE3A486-87D0-474C-8D9C-6254E66BBC4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APR 2026</t>
        </r>
      </text>
    </comment>
    <comment ref="R49" authorId="0" shapeId="0" xr:uid="{ED94723A-FC6A-41DA-943F-28F954BBBB4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50" authorId="0" shapeId="0" xr:uid="{E8F91B04-0619-4529-9EFA-58AC1C98035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APR 2026</t>
        </r>
      </text>
    </comment>
    <comment ref="R50" authorId="0" shapeId="0" xr:uid="{2F59176E-D573-423C-8401-729B0DAFE8E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APR 2026</t>
        </r>
      </text>
    </comment>
    <comment ref="Q51" authorId="0" shapeId="0" xr:uid="{3975A838-7A4B-4B21-9835-18BCDFF9A1A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APR 2026
</t>
        </r>
      </text>
    </comment>
    <comment ref="R51" authorId="0" shapeId="0" xr:uid="{65F31E23-9701-4DC1-B00F-69D0E8DD79B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APR 2026</t>
        </r>
      </text>
    </comment>
    <comment ref="Q52" authorId="0" shapeId="0" xr:uid="{622B9962-1349-4D4C-96C2-C4A9AE18280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APR 2026</t>
        </r>
      </text>
    </comment>
    <comment ref="Q53" authorId="0" shapeId="0" xr:uid="{BDDC4529-BEA8-49F4-8CA1-59EAE4D8B9D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APR 2026</t>
        </r>
      </text>
    </comment>
    <comment ref="R53" authorId="0" shapeId="0" xr:uid="{B15A04C8-1919-4BF7-9E09-314739EB77C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APR 2026</t>
        </r>
      </text>
    </comment>
    <comment ref="Q54" authorId="0" shapeId="0" xr:uid="{A9226236-420D-4860-A076-4B81AD40FB4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APR 2026</t>
        </r>
      </text>
    </comment>
    <comment ref="R54" authorId="0" shapeId="0" xr:uid="{39C8E8A6-5B3C-430A-8174-427AED3D61CE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20 APR 2026
</t>
        </r>
      </text>
    </comment>
    <comment ref="Q55" authorId="0" shapeId="0" xr:uid="{59702965-6824-4BDD-9B24-7F5CEA79843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APR 2026</t>
        </r>
      </text>
    </comment>
    <comment ref="R55" authorId="0" shapeId="0" xr:uid="{EEAFE3F1-DDA0-4377-9B4F-73EC74C285F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APR 2026</t>
        </r>
      </text>
    </comment>
    <comment ref="Q56" authorId="0" shapeId="0" xr:uid="{E5305CAB-4283-4DB2-AEC3-F820999DF53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APR 2026</t>
        </r>
      </text>
    </comment>
    <comment ref="R56" authorId="0" shapeId="0" xr:uid="{0018C3DA-ECB1-4F28-957D-B67A65BD450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</t>
        </r>
      </text>
    </comment>
    <comment ref="Q57" authorId="0" shapeId="0" xr:uid="{33213BD2-8B9B-4C23-80F8-6457ED194E1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
</t>
        </r>
      </text>
    </comment>
    <comment ref="R57" authorId="0" shapeId="0" xr:uid="{7A04C10C-40A5-4387-988B-C51D45D4EE2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APR 2026</t>
        </r>
      </text>
    </comment>
    <comment ref="Q58" authorId="0" shapeId="0" xr:uid="{F67FB12E-9F22-4F29-9E75-30EACCD88A1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
</t>
        </r>
      </text>
    </comment>
    <comment ref="R58" authorId="0" shapeId="0" xr:uid="{0F8B6A7C-333A-40F3-874F-26CB414611B9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APR 2026</t>
        </r>
      </text>
    </comment>
    <comment ref="Q59" authorId="0" shapeId="0" xr:uid="{0F8391DB-6F05-4028-B0E8-9501B8B449A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APR 2026</t>
        </r>
      </text>
    </comment>
    <comment ref="R59" authorId="0" shapeId="0" xr:uid="{6B4E15AB-626F-4C42-A3FB-0A2CDADEEA5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</t>
        </r>
      </text>
    </comment>
    <comment ref="S59" authorId="0" shapeId="0" xr:uid="{DFB68FD4-2F51-4152-BB6E-BEBA3C48A71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T59" authorId="0" shapeId="0" xr:uid="{4A534DF9-8EAA-4C61-BCB9-23316DE0A99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2026</t>
        </r>
      </text>
    </comment>
    <comment ref="Q60" authorId="0" shapeId="0" xr:uid="{BA6A099F-6FAE-4D95-B49F-2FC02C66D82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APR 2026
</t>
        </r>
      </text>
    </comment>
    <comment ref="R60" authorId="0" shapeId="0" xr:uid="{B9969BAF-88D0-47CB-AFAC-46DE1445FEB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23 APR 2026
</t>
        </r>
      </text>
    </comment>
    <comment ref="Q61" authorId="0" shapeId="0" xr:uid="{93ED215A-A8C3-430F-A1F7-2EE314EB14C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27 APR 2026</t>
        </r>
      </text>
    </comment>
    <comment ref="R61" authorId="0" shapeId="0" xr:uid="{92F01D3A-D80B-4463-A0CC-F1110A9EB94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27 APR 2026</t>
        </r>
      </text>
    </comment>
    <comment ref="Q62" authorId="0" shapeId="0" xr:uid="{68440C32-26CB-411C-95B0-DD3275A662D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2026</t>
        </r>
      </text>
    </comment>
    <comment ref="R62" authorId="0" shapeId="0" xr:uid="{51F73027-AD72-4BEE-A1D8-522877537AE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2026</t>
        </r>
      </text>
    </comment>
    <comment ref="Q63" authorId="0" shapeId="0" xr:uid="{89509D1C-7E8F-453A-9171-B9C2E942363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MEI 2026</t>
        </r>
      </text>
    </comment>
    <comment ref="R63" authorId="0" shapeId="0" xr:uid="{FCCBA99A-C950-407D-B02F-35F28E690EE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S63" authorId="0" shapeId="0" xr:uid="{F6D56EF9-2012-4761-9C54-97BB0AFE74E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T63" authorId="0" shapeId="0" xr:uid="{60CCE19A-728A-42B3-AD80-5247DEBFFF2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U63" authorId="0" shapeId="0" xr:uid="{391F56C8-DABC-49CE-8435-5FA17C1E188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AUGST 2026</t>
        </r>
      </text>
    </comment>
    <comment ref="V63" authorId="0" shapeId="0" xr:uid="{540F3286-B70F-491C-94E6-C2B0B20B41D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 SEPT 2026</t>
        </r>
      </text>
    </comment>
    <comment ref="Q64" authorId="0" shapeId="0" xr:uid="{4F5D3A64-C72B-4079-8715-CA64AE87C5C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2026</t>
        </r>
      </text>
    </comment>
    <comment ref="R64" authorId="0" shapeId="0" xr:uid="{52CA1529-726E-4450-ABBF-5A37D9B7936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Q65" authorId="0" shapeId="0" xr:uid="{CB32B0D0-3486-4F8A-81A0-6B9DFF5FA88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2026</t>
        </r>
      </text>
    </comment>
    <comment ref="R65" authorId="0" shapeId="0" xr:uid="{82B7AA1C-1720-4AAC-9F2A-12AF75AC6BB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MEI 206</t>
        </r>
      </text>
    </comment>
    <comment ref="Q66" authorId="0" shapeId="0" xr:uid="{F1284C18-8142-42B7-833C-0149EF36D40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MEI 2026</t>
        </r>
      </text>
    </comment>
    <comment ref="R66" authorId="0" shapeId="0" xr:uid="{D5C467EF-FC39-47E4-AAE8-2BE8D4AD24C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S66" authorId="0" shapeId="0" xr:uid="{E615DF85-4BEC-43AD-A0F2-4CE3853CF84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MEI 2026</t>
        </r>
      </text>
    </comment>
    <comment ref="Q67" authorId="0" shapeId="0" xr:uid="{AF0EDC7D-BE23-41AA-A125-C5D85A91B53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MEI 2026</t>
        </r>
      </text>
    </comment>
    <comment ref="R67" authorId="0" shapeId="0" xr:uid="{A5631E76-2A4E-4252-80C7-9DEBE1E295C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MEI 2026</t>
        </r>
      </text>
    </comment>
    <comment ref="Q68" authorId="0" shapeId="0" xr:uid="{1102F629-B1AD-4190-8630-2C0EB7C3967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MEI 2026</t>
        </r>
      </text>
    </comment>
    <comment ref="R68" authorId="0" shapeId="0" xr:uid="{112E1C7C-5BFF-487B-A451-7BAF69F8B3C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Q69" authorId="0" shapeId="0" xr:uid="{1D797ED9-F448-408C-B0ED-556681C211B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MEI 2026</t>
        </r>
      </text>
    </comment>
    <comment ref="R69" authorId="0" shapeId="0" xr:uid="{24414E13-81AC-4C5C-A83C-54423106DF1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S69" authorId="0" shapeId="0" xr:uid="{100A6670-A522-4354-B78D-0ECB33C32D5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MEI 2026</t>
        </r>
      </text>
    </comment>
    <comment ref="T69" authorId="0" shapeId="0" xr:uid="{D30F833D-7EE3-4D24-99F4-4A4820A14D7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JUN 2026</t>
        </r>
      </text>
    </comment>
    <comment ref="Q70" authorId="0" shapeId="0" xr:uid="{EF24F4ED-29B0-4F77-A89B-7D05B507A72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MEI 2026</t>
        </r>
      </text>
    </comment>
    <comment ref="R70" authorId="0" shapeId="0" xr:uid="{D7239197-B687-4A1E-97DD-160C1680B7E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MEI 2026</t>
        </r>
      </text>
    </comment>
    <comment ref="S70" authorId="0" shapeId="0" xr:uid="{9E67423F-44E8-473A-9C23-4EBC3858FA4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Q71" authorId="0" shapeId="0" xr:uid="{CAD77C0A-6428-4DB5-B49C-7702ABBC28B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R71" authorId="0" shapeId="0" xr:uid="{CD7FE9AF-BD15-4966-B9B6-48DA5A9A714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MEI 2026
</t>
        </r>
      </text>
    </comment>
    <comment ref="Q72" authorId="0" shapeId="0" xr:uid="{96021704-27FC-467F-BD20-B017E2B9448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
</t>
        </r>
      </text>
    </comment>
    <comment ref="R72" authorId="0" shapeId="0" xr:uid="{B8998EB6-7970-4633-87E1-DEDFAF43508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MEI 2026</t>
        </r>
      </text>
    </comment>
    <comment ref="Q73" authorId="0" shapeId="0" xr:uid="{FB094E76-E72F-4803-B674-4F82267E23D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MEI 2026</t>
        </r>
      </text>
    </comment>
    <comment ref="R73" authorId="0" shapeId="0" xr:uid="{AFA88DA2-A7D5-4D17-9141-20F75CFBFAF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MEI 2026</t>
        </r>
      </text>
    </comment>
    <comment ref="S73" authorId="0" shapeId="0" xr:uid="{D659D2FA-D1AE-44BF-B814-E9C5FE19BCD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MEI 2026</t>
        </r>
      </text>
    </comment>
    <comment ref="Q74" authorId="0" shapeId="0" xr:uid="{6947A577-4CCE-451D-B0AC-592D5887018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R74" authorId="0" shapeId="0" xr:uid="{6F9F631E-CBCE-4A94-91EA-FFD2D8086BA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S74" authorId="0" shapeId="0" xr:uid="{929B9818-CF8C-4278-9704-DA3C702FDA5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JUN 2026</t>
        </r>
      </text>
    </comment>
    <comment ref="Q75" authorId="0" shapeId="0" xr:uid="{49FCDBB9-7015-4219-82C5-32C6A663A38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R75" authorId="0" shapeId="0" xr:uid="{E39A7841-00AE-4674-9E10-DEB8F58D276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Q76" authorId="0" shapeId="0" xr:uid="{650D8317-003F-4A3B-8018-AC269ABD92D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JUN 2026</t>
        </r>
      </text>
    </comment>
    <comment ref="R76" authorId="0" shapeId="0" xr:uid="{0E9CFC0E-589F-4450-B38F-502F5DF5D66C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17 JUN 2026</t>
        </r>
      </text>
    </comment>
    <comment ref="Q77" authorId="0" shapeId="0" xr:uid="{DCF483B8-EE33-4F39-998F-7CF7D448DC4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JUN 2026</t>
        </r>
      </text>
    </comment>
    <comment ref="R77" authorId="0" shapeId="0" xr:uid="{413DC692-736B-47C4-9AC3-1EBD61B7104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JUN 2026
</t>
        </r>
      </text>
    </comment>
    <comment ref="Q78" authorId="0" shapeId="0" xr:uid="{83D87131-C556-4F7F-8201-96233F6053A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JUN 2026
</t>
        </r>
      </text>
    </comment>
    <comment ref="R78" authorId="0" shapeId="0" xr:uid="{64C0A5E2-6135-403B-8384-FCD68B2DF60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Q79" authorId="0" shapeId="0" xr:uid="{912D68BF-2F0B-4B77-A34A-7CAE81330ED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JUN 2026
</t>
        </r>
      </text>
    </comment>
    <comment ref="R79" authorId="0" shapeId="0" xr:uid="{488D743A-A26E-4F2D-9195-2D0B7B9246C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Q80" authorId="0" shapeId="0" xr:uid="{2E1A8CA6-6B02-48EC-85F8-CE984AB9526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22 JUN 2026</t>
        </r>
      </text>
    </comment>
    <comment ref="R80" authorId="0" shapeId="0" xr:uid="{6E158362-BF6D-40BF-8D1D-41344875554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23 JUN 2026</t>
        </r>
      </text>
    </comment>
    <comment ref="Q81" authorId="0" shapeId="0" xr:uid="{71083BE8-EA41-400A-8FAA-AF6E98F1484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JUN 2026</t>
        </r>
      </text>
    </comment>
    <comment ref="R81" authorId="0" shapeId="0" xr:uid="{C2BEECC7-D874-43D6-922D-19772E5B997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JUN 2026</t>
        </r>
      </text>
    </comment>
    <comment ref="Q82" authorId="0" shapeId="0" xr:uid="{7FC8520D-A68C-4C0F-9DD7-0FD03414284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R82" authorId="0" shapeId="0" xr:uid="{CFB91D4D-EBB0-4ECF-BFFD-467987FE88F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Q83" authorId="0" shapeId="0" xr:uid="{48BE386D-9680-4F4E-A5EF-A7C1778CFAF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JUL 2026</t>
        </r>
      </text>
    </comment>
    <comment ref="R83" authorId="0" shapeId="0" xr:uid="{9F9F7B60-BF71-4E37-A5E0-0FBC8B31EE6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JUL 2026</t>
        </r>
      </text>
    </comment>
    <comment ref="Q84" authorId="0" shapeId="0" xr:uid="{1CA5C72E-0716-4765-94E5-3893C8062A69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7 JUL 2026</t>
        </r>
      </text>
    </comment>
    <comment ref="R84" authorId="0" shapeId="0" xr:uid="{81BC22B1-2DFD-4C4C-BC24-4370D0EDBE2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16 JUL 2026</t>
        </r>
      </text>
    </comment>
    <comment ref="Q85" authorId="0" shapeId="0" xr:uid="{3E60FE81-BB27-4FD5-BCCB-118F72A7CC7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JUL 2026</t>
        </r>
      </text>
    </comment>
    <comment ref="R85" authorId="0" shapeId="0" xr:uid="{D2AFE57B-3B29-4B33-BEC7-08A91E72C83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JUL 2026</t>
        </r>
      </text>
    </comment>
    <comment ref="Q86" authorId="0" shapeId="0" xr:uid="{0D60AEEE-DD0D-45C8-BA89-2E5B3427A8D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JUL 2026</t>
        </r>
      </text>
    </comment>
    <comment ref="R86" authorId="0" shapeId="0" xr:uid="{3CB72533-95CF-45E4-8E37-0F70BD00E6F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JUL 2026</t>
        </r>
      </text>
    </comment>
    <comment ref="Q87" authorId="0" shapeId="0" xr:uid="{2197CF8B-2221-4F00-9208-0351453F4A0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10 JUL 2026</t>
        </r>
      </text>
    </comment>
    <comment ref="R87" authorId="0" shapeId="0" xr:uid="{37333652-A76F-4542-8851-860A04D71DD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JUL 2026</t>
        </r>
      </text>
    </comment>
    <comment ref="Q88" authorId="0" shapeId="0" xr:uid="{856C04B1-8BE3-4472-9749-FC4D1764666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JUL 2026</t>
        </r>
      </text>
    </comment>
    <comment ref="R88" authorId="0" shapeId="0" xr:uid="{2626D0C9-81FA-42F0-B2DC-35922F8ADEF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JUL 2026</t>
        </r>
      </text>
    </comment>
    <comment ref="Q89" authorId="0" shapeId="0" xr:uid="{D8F1C3E6-4D61-423F-86F8-EED0109B36FA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JUL 2026</t>
        </r>
      </text>
    </comment>
    <comment ref="R89" authorId="0" shapeId="0" xr:uid="{9DEB1FA8-0CFE-4259-95D9-34FA6AF5067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14 JUL 2026</t>
        </r>
      </text>
    </comment>
    <comment ref="Q90" authorId="0" shapeId="0" xr:uid="{2E41611F-39ED-471C-B8D0-9B2D7ADA016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JUL 2026</t>
        </r>
      </text>
    </comment>
    <comment ref="Q91" authorId="0" shapeId="0" xr:uid="{500BE2F6-11CE-4354-A33B-579974C769B4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14 JUL 2026</t>
        </r>
      </text>
    </comment>
    <comment ref="R91" authorId="0" shapeId="0" xr:uid="{333EFB9B-0A29-4FFA-A58D-75845122D02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16 JUL 2026</t>
        </r>
      </text>
    </comment>
    <comment ref="Q92" authorId="0" shapeId="0" xr:uid="{5B2376D1-319A-4C15-9EFA-07E1F1CC12A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14 JUL 2026</t>
        </r>
      </text>
    </comment>
    <comment ref="R92" authorId="0" shapeId="0" xr:uid="{5C11B583-290B-4580-B331-39D449BAB0BC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16 JUL 2026</t>
        </r>
      </text>
    </comment>
    <comment ref="Q93" authorId="0" shapeId="0" xr:uid="{1219C4BE-1180-4605-9ADD-5E6AF2B3B6A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JUL 2026</t>
        </r>
      </text>
    </comment>
    <comment ref="R93" authorId="0" shapeId="0" xr:uid="{3F4B8735-8803-4677-A4AD-1C4C8A0D003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JUL 2026</t>
        </r>
      </text>
    </comment>
    <comment ref="S93" authorId="0" shapeId="0" xr:uid="{AB73B813-9613-497A-AADD-A0D95656A69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JUL 2026</t>
        </r>
      </text>
    </comment>
    <comment ref="T93" authorId="0" shapeId="0" xr:uid="{80E795AA-6D12-41CC-A0C6-305A644D3FD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AGST 2026</t>
        </r>
      </text>
    </comment>
    <comment ref="U93" authorId="0" shapeId="0" xr:uid="{38D33EDF-7ED4-4C49-80E6-7BF4CE6D6B1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AGST 2026</t>
        </r>
      </text>
    </comment>
    <comment ref="V93" authorId="0" shapeId="0" xr:uid="{F9EFB25A-4D55-4171-B847-9A825ABD21A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12 AGUST 2026</t>
        </r>
      </text>
    </comment>
    <comment ref="Q94" authorId="0" shapeId="0" xr:uid="{97785B00-A0B9-4E7A-99DD-C7E423A5557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JUL 2026
</t>
        </r>
      </text>
    </comment>
    <comment ref="R94" authorId="0" shapeId="0" xr:uid="{BFFE5AFF-0099-4A19-8CB8-B9B6ED9E6E8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JUL 2026
</t>
        </r>
      </text>
    </comment>
    <comment ref="S94" authorId="0" shapeId="0" xr:uid="{3A343BAB-9BF8-473E-91D7-0D6347C07BA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AGST 2026</t>
        </r>
      </text>
    </comment>
    <comment ref="T94" authorId="0" shapeId="0" xr:uid="{BCB0D302-25DA-4000-B93E-E927FF43B29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23 JUL 2026</t>
        </r>
      </text>
    </comment>
    <comment ref="U94" authorId="0" shapeId="0" xr:uid="{C371D7AB-4BEB-4C51-B6DA-C846AF366E2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AGUST 2026</t>
        </r>
      </text>
    </comment>
    <comment ref="V94" authorId="0" shapeId="0" xr:uid="{4741EBB9-05BE-480F-B8E6-7E3DC367503A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28 AUGST 2026</t>
        </r>
      </text>
    </comment>
    <comment ref="Q95" authorId="0" shapeId="0" xr:uid="{7599B325-FD86-42CF-B0DE-165FBECCA8F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JUL 2026</t>
        </r>
      </text>
    </comment>
    <comment ref="R95" authorId="0" shapeId="0" xr:uid="{34FBD92B-DB5C-4425-A39F-FD36E195E6A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JUL 2026</t>
        </r>
      </text>
    </comment>
    <comment ref="Q96" authorId="0" shapeId="0" xr:uid="{F849FCFC-A860-4255-9E91-8C4CA9DC69E5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JUL 2026</t>
        </r>
      </text>
    </comment>
    <comment ref="R96" authorId="0" shapeId="0" xr:uid="{B1565EB2-109A-4A5C-A2BB-6D3E24B8F8BF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JUL 2026</t>
        </r>
      </text>
    </comment>
    <comment ref="Q97" authorId="0" shapeId="0" xr:uid="{9A1D218C-13AA-4DEC-89D5-8257FA7E27BB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JUL 2026</t>
        </r>
      </text>
    </comment>
    <comment ref="R97" authorId="0" shapeId="0" xr:uid="{C07507BA-5665-409E-97AF-3D00D042735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23 JUL 2026</t>
        </r>
      </text>
    </comment>
    <comment ref="Q98" authorId="0" shapeId="0" xr:uid="{27BCE990-7328-4C80-849C-AE539835D7E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R98" authorId="0" shapeId="0" xr:uid="{21E15080-9A36-476E-BC24-13D893F83C7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3 AGST 2026</t>
        </r>
      </text>
    </comment>
    <comment ref="S98" authorId="0" shapeId="0" xr:uid="{0425A3CB-FDED-44A7-99D4-EBD9177EA4B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AGST 2026</t>
        </r>
      </text>
    </comment>
    <comment ref="Q99" authorId="0" shapeId="0" xr:uid="{80BCE6B3-98A7-47F6-820F-9477279460B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
</t>
        </r>
      </text>
    </comment>
    <comment ref="R99" authorId="0" shapeId="0" xr:uid="{FE9EAD34-72B6-44D7-A0FD-643BE8DBCFF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AGST 2026</t>
        </r>
      </text>
    </comment>
    <comment ref="S99" authorId="0" shapeId="0" xr:uid="{21047ED5-38C7-444F-ADC0-CE4CF567AE3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10 AGST 2026</t>
        </r>
      </text>
    </comment>
    <comment ref="T99" authorId="0" shapeId="0" xr:uid="{07677DE6-2A97-42CD-A06C-B8104F8F038B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26 AUGST 2026</t>
        </r>
      </text>
    </comment>
    <comment ref="U99" authorId="0" shapeId="0" xr:uid="{DE6B569C-D850-48E4-A01C-BFAF0E6379E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28 AUGST 2026</t>
        </r>
      </text>
    </comment>
    <comment ref="Q100" authorId="0" shapeId="0" xr:uid="{9EAD2C13-155D-4943-BF9C-B39EDD328ACD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28 JUL 2026</t>
        </r>
      </text>
    </comment>
    <comment ref="R100" authorId="0" shapeId="0" xr:uid="{DBB03E2A-94E8-49FA-9529-A84D0A3D535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Q101" authorId="0" shapeId="0" xr:uid="{5C929E4A-18B9-44F8-AFA4-0DAD772FD2CC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28 JUL 2026</t>
        </r>
      </text>
    </comment>
    <comment ref="R101" authorId="0" shapeId="0" xr:uid="{400596B7-F386-4E1B-8036-3EC3CCE7904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Q102" authorId="0" shapeId="0" xr:uid="{CB182313-5FD5-4CEC-AFCE-BAAE260DFAE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
</t>
        </r>
      </text>
    </comment>
    <comment ref="R102" authorId="0" shapeId="0" xr:uid="{02FDDAB8-158E-474B-AD93-5535648BAC6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Q103" authorId="0" shapeId="0" xr:uid="{1FFD0A31-F6F3-4C38-B657-6D3E92739A4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R103" authorId="0" shapeId="0" xr:uid="{38B179DF-BFA0-4067-9C4B-480E5595A8A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AGST 2026</t>
        </r>
      </text>
    </comment>
    <comment ref="Q104" authorId="0" shapeId="0" xr:uid="{5EE93173-2728-4AB8-9C01-ADDA3AE637A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R104" authorId="0" shapeId="0" xr:uid="{14598949-9567-4AB6-AD4F-ED241DC548D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Q105" authorId="0" shapeId="0" xr:uid="{A1B127AE-E0E1-43D0-9F03-4A6C6D445B6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R105" authorId="0" shapeId="0" xr:uid="{15B16F54-D2A8-442E-9BB0-CF20D8141A4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JUL 2026</t>
        </r>
      </text>
    </comment>
    <comment ref="S105" authorId="0" shapeId="0" xr:uid="{D5491472-905F-473A-ADF2-B52CCA6E1F1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AGST 2026</t>
        </r>
      </text>
    </comment>
    <comment ref="T105" authorId="0" shapeId="0" xr:uid="{A8BE2D99-056D-477A-9E23-179F300C400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AUGST 2026</t>
        </r>
      </text>
    </comment>
    <comment ref="U105" authorId="0" shapeId="0" xr:uid="{54E8BB43-59CB-41DD-B169-242083A5B50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AUGST 2026</t>
        </r>
      </text>
    </comment>
    <comment ref="V105" authorId="0" shapeId="0" xr:uid="{219BE4EE-3D47-4660-9CCA-2FF691EA0A7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SEPT 2026</t>
        </r>
      </text>
    </comment>
    <comment ref="Q106" authorId="0" shapeId="0" xr:uid="{2BE6DEDD-037F-4F7A-B4D7-F05EE5175D7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JUL 2026</t>
        </r>
      </text>
    </comment>
    <comment ref="R106" authorId="0" shapeId="0" xr:uid="{5A8B36E1-0A1B-4529-AD18-53645E77B13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JUL 2026</t>
        </r>
      </text>
    </comment>
    <comment ref="Q107" authorId="0" shapeId="0" xr:uid="{8664A16A-F1B3-4D33-A7F2-7DA5FCD1605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JUL 2026
</t>
        </r>
      </text>
    </comment>
    <comment ref="R107" authorId="0" shapeId="0" xr:uid="{F3AE487E-FA52-476E-B9F3-8CFDD859A77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JUL 2026</t>
        </r>
      </text>
    </comment>
    <comment ref="Q108" authorId="0" shapeId="0" xr:uid="{ECAFAD09-3E80-427D-9F82-D0021525A3C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AGST 2026
</t>
        </r>
      </text>
    </comment>
    <comment ref="R108" authorId="0" shapeId="0" xr:uid="{64DFEE87-2FB0-4E72-92DA-B87951ADD6C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AGST 2026</t>
        </r>
      </text>
    </comment>
    <comment ref="Q109" authorId="0" shapeId="0" xr:uid="{E768F41A-42E7-4DBB-B8CF-4833785A3D01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6 AUGST 2026</t>
        </r>
      </text>
    </comment>
    <comment ref="R109" authorId="0" shapeId="0" xr:uid="{6FBC8D29-CA2A-4A6D-9340-97E637ECE99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19 AUGST 2026</t>
        </r>
      </text>
    </comment>
    <comment ref="Q111" authorId="0" shapeId="0" xr:uid="{9D27764D-A1C5-4C93-AE70-EB982459BA4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AGST 2026</t>
        </r>
      </text>
    </comment>
    <comment ref="R111" authorId="0" shapeId="0" xr:uid="{71A1CD00-9066-438B-87D0-977C6A40176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11 AGST 2026</t>
        </r>
      </text>
    </comment>
    <comment ref="Q112" authorId="0" shapeId="0" xr:uid="{9DE9E165-B523-41A0-8C49-426BD13CFF5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AGUST 2026</t>
        </r>
      </text>
    </comment>
    <comment ref="R112" authorId="0" shapeId="0" xr:uid="{296B6BB3-16ED-40E5-A813-2E520F0D0F4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AGUST 2026</t>
        </r>
      </text>
    </comment>
    <comment ref="Q113" authorId="0" shapeId="0" xr:uid="{D12BB1F0-D37C-48F7-B623-D89E4A2149B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14 AUGST 2026</t>
        </r>
      </text>
    </comment>
    <comment ref="R113" authorId="0" shapeId="0" xr:uid="{D4E9B93B-A3B9-477E-A79C-43B7E846D95F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20 AUGST 2026</t>
        </r>
      </text>
    </comment>
    <comment ref="Q114" authorId="0" shapeId="0" xr:uid="{ADEDCEE0-5B51-4FF8-8DFC-37B91AC8A8A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AGST 2026</t>
        </r>
      </text>
    </comment>
    <comment ref="R114" authorId="0" shapeId="0" xr:uid="{8275C97B-5FDA-4096-B83F-D00D9F71F4D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AGST 2026</t>
        </r>
      </text>
    </comment>
    <comment ref="Q115" authorId="0" shapeId="0" xr:uid="{5E447041-52EA-46EE-8D99-59B54B526D4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AGST 2026</t>
        </r>
      </text>
    </comment>
    <comment ref="R115" authorId="0" shapeId="0" xr:uid="{1CBB76AA-BBC2-4999-A817-C6B8C56A40D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AGST 2026</t>
        </r>
      </text>
    </comment>
    <comment ref="Q116" authorId="0" shapeId="0" xr:uid="{3AF521E3-7083-4D67-82AC-89D6E508C8A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AUGST 2026</t>
        </r>
      </text>
    </comment>
    <comment ref="R116" authorId="0" shapeId="0" xr:uid="{29BF5E19-6326-49F1-81CA-509ACCDBCF6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AUGST 2026</t>
        </r>
      </text>
    </comment>
    <comment ref="Q117" authorId="0" shapeId="0" xr:uid="{59399D04-EFF9-4A2D-A7AF-CCEE37D18F0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SEPT 2026</t>
        </r>
      </text>
    </comment>
    <comment ref="R117" authorId="0" shapeId="0" xr:uid="{A50DC9C6-532A-4E89-A7A4-66DE41E07BE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SEPT 2026</t>
        </r>
      </text>
    </comment>
    <comment ref="Q118" authorId="0" shapeId="0" xr:uid="{0FF8E7C8-00B9-4CA8-BC0B-F856A5611D6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R118" authorId="0" shapeId="0" xr:uid="{6AB8C5DE-D989-45CC-A9DF-DE17C201360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 SEPT 2026</t>
        </r>
      </text>
    </comment>
    <comment ref="Q119" authorId="0" shapeId="0" xr:uid="{DBC695EF-B135-43D9-AC7F-28516DC9234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SEPT 2026</t>
        </r>
      </text>
    </comment>
    <comment ref="Q120" authorId="0" shapeId="0" xr:uid="{63B0D0CA-D966-411F-8D72-8AF396A8AD2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 SEPT 2026</t>
        </r>
      </text>
    </comment>
    <comment ref="R120" authorId="0" shapeId="0" xr:uid="{F0CBA904-3771-4637-ABBF-2434619A103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S120" authorId="0" shapeId="0" xr:uid="{F0ADC485-0285-4991-A788-29DB9EE69B9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SEPT 2026
</t>
        </r>
      </text>
    </comment>
    <comment ref="Q121" authorId="0" shapeId="0" xr:uid="{B2D71F5C-6948-4566-8E25-3130C270BAC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R121" authorId="0" shapeId="0" xr:uid="{A2E13A3E-6306-4A6A-A747-DCE593159DC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Q122" authorId="0" shapeId="0" xr:uid="{F3C2D870-0E85-4F52-AFA0-876095514A7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SEPT 2026</t>
        </r>
      </text>
    </comment>
    <comment ref="R122" authorId="0" shapeId="0" xr:uid="{344CADB1-036D-4720-AD97-45CBD52EA2B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15 SEPT 2026</t>
        </r>
      </text>
    </comment>
    <comment ref="Q123" authorId="0" shapeId="0" xr:uid="{E74AC78A-C5D2-4A5C-9425-CD2144DCC64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7 SEPT 2026</t>
        </r>
      </text>
    </comment>
    <comment ref="R123" authorId="0" shapeId="0" xr:uid="{F997D1DA-9916-4AA3-B1C0-5099D85A9CA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10 SEPT 2026</t>
        </r>
      </text>
    </comment>
    <comment ref="S123" authorId="0" shapeId="0" xr:uid="{60818E8B-CD89-4FCB-A1A1-CFA9C150ADB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SEPT 2026</t>
        </r>
      </text>
    </comment>
    <comment ref="Q124" authorId="0" shapeId="0" xr:uid="{7ED7D7B0-D0F2-4B62-8F18-A61D2B8A792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SEPT 2026</t>
        </r>
      </text>
    </comment>
    <comment ref="R124" authorId="0" shapeId="0" xr:uid="{F6EA8FBE-4EE9-443E-B151-90BA29E29BD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14 SEPT 2026</t>
        </r>
      </text>
    </comment>
    <comment ref="S124" authorId="0" shapeId="0" xr:uid="{86E96ED0-7C9E-41D9-8AFE-5D0E3387CAF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SEPT 2026</t>
        </r>
      </text>
    </comment>
    <comment ref="T124" authorId="0" shapeId="0" xr:uid="{06257FED-EFEB-4C44-81C3-322FB054C68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SEPT 2026</t>
        </r>
      </text>
    </comment>
    <comment ref="Q125" authorId="0" shapeId="0" xr:uid="{81C94DA7-0C70-4AE6-988A-3ED3B33CC13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Q127" authorId="0" shapeId="0" xr:uid="{CFC82518-DC42-46D1-8986-EC0AE6A4123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SEPT 2026</t>
        </r>
      </text>
    </comment>
    <comment ref="R127" authorId="0" shapeId="0" xr:uid="{D4FB98ED-724E-4B84-9393-6A3ABEEE3AD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16 SEPT 2026</t>
        </r>
      </text>
    </comment>
    <comment ref="Q129" authorId="0" shapeId="0" xr:uid="{A3F4CB06-03E6-4D17-B24E-8C86B4B3755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17 SEPT 2026</t>
        </r>
      </text>
    </comment>
    <comment ref="R129" authorId="0" shapeId="0" xr:uid="{28AFA84B-9520-4565-A10A-7BF8AD27FB6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Q131" authorId="0" shapeId="0" xr:uid="{CE3055B7-FA92-44A2-B676-F0F6F020DFF9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SEPT 2026</t>
        </r>
      </text>
    </comment>
    <comment ref="R131" authorId="0" shapeId="0" xr:uid="{F57E60E0-13E4-410F-B8B3-6472027DD8C8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SEPT 2026</t>
        </r>
      </text>
    </comment>
    <comment ref="Q132" authorId="0" shapeId="0" xr:uid="{546FE6A2-D941-4F4A-9945-80E18E1582B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R132" authorId="0" shapeId="0" xr:uid="{31AC90B3-1E0E-4D97-A93D-E2C8407308B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S132" authorId="0" shapeId="0" xr:uid="{CD992EBA-0D36-4B32-AF1A-E0F9AC63723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Q133" authorId="0" shapeId="0" xr:uid="{4FDC0886-B3EA-4161-BA8A-BC35AEC4B9C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
</t>
        </r>
      </text>
    </comment>
    <comment ref="R133" authorId="0" shapeId="0" xr:uid="{1D831E58-191A-4EEC-BFA0-F51FDF5E67E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</t>
        </r>
      </text>
    </comment>
    <comment ref="Q134" authorId="0" shapeId="0" xr:uid="{873CAFFD-ADD3-4D4C-8BEE-15171C22D0F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
</t>
        </r>
      </text>
    </comment>
    <comment ref="R134" authorId="0" shapeId="0" xr:uid="{60C9E452-955E-4144-80EF-06ED4C43F92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</t>
        </r>
      </text>
    </comment>
    <comment ref="Q135" authorId="0" shapeId="0" xr:uid="{BA05BAC6-B1CA-467B-B9AD-5361AA4CD88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37" authorId="0" shapeId="0" xr:uid="{4ACCE2F1-EE17-4692-AB2E-C9DB056E74A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38" authorId="0" shapeId="0" xr:uid="{1472ED61-FF7B-4C2A-9F8E-7E9B162DE2D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39" authorId="0" shapeId="0" xr:uid="{250384C4-A078-4A98-9532-1217E811B5D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40" authorId="0" shapeId="0" xr:uid="{22E62C43-C3F9-4EC6-9B23-33EC351C5CC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41" authorId="0" shapeId="0" xr:uid="{5EEE750A-33E2-492C-8E16-FF2E0B11039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42" authorId="0" shapeId="0" xr:uid="{C823D4D6-0DDC-4A11-AD2F-6C47A63441E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43" authorId="0" shapeId="0" xr:uid="{EFC1E665-7E4E-479C-8792-983B49A1B49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</t>
        </r>
      </text>
    </comment>
    <comment ref="R143" authorId="0" shapeId="0" xr:uid="{E0D5FE7C-EEBB-4FC1-B63A-551A09D4AD8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144" authorId="0" shapeId="0" xr:uid="{C05A511A-30A9-4934-87EF-75034616ED6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
</t>
        </r>
      </text>
    </comment>
    <comment ref="R144" authorId="0" shapeId="0" xr:uid="{269FA846-EAA8-4079-9B41-EE98E8EE964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145" authorId="0" shapeId="0" xr:uid="{1819CAF1-9EF7-47A1-8462-22D9E2028F3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JAN 2026
</t>
        </r>
      </text>
    </comment>
    <comment ref="R145" authorId="0" shapeId="0" xr:uid="{9F631ADB-138C-4A4B-A35D-58BF9669A2A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147" authorId="0" shapeId="0" xr:uid="{705AA554-F87B-4DF9-965C-1CA2CCE6781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</t>
        </r>
      </text>
    </comment>
    <comment ref="R147" authorId="0" shapeId="0" xr:uid="{4B5C3A7D-79FA-4B7A-991E-4589223BFB7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Q148" authorId="0" shapeId="0" xr:uid="{7D68E6C4-8E06-40AD-AE3F-5D876E59540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MAR 2026</t>
        </r>
      </text>
    </comment>
    <comment ref="R148" authorId="0" shapeId="0" xr:uid="{472F98C0-AE8A-486E-B932-A43ECBB29C6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MAR 2026</t>
        </r>
      </text>
    </comment>
    <comment ref="Q149" authorId="0" shapeId="0" xr:uid="{20D63136-38E6-4C3A-9C0C-5760D498D73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MAR 2026</t>
        </r>
      </text>
    </comment>
    <comment ref="R149" authorId="0" shapeId="0" xr:uid="{7267CCC7-0747-49CC-BAF0-DF93B1BC836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MAR 2026</t>
        </r>
      </text>
    </comment>
    <comment ref="Q150" authorId="0" shapeId="0" xr:uid="{C2DDE5AD-C89D-4723-94AD-64D825DB345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MAR 2026
</t>
        </r>
      </text>
    </comment>
    <comment ref="R150" authorId="0" shapeId="0" xr:uid="{98F93646-1319-49E3-A5E8-43F0CF463122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26 MAR 2026</t>
        </r>
      </text>
    </comment>
    <comment ref="Q151" authorId="0" shapeId="0" xr:uid="{2B04FC9D-75AC-4572-BCE8-6FC097D0554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MAR 2026</t>
        </r>
      </text>
    </comment>
    <comment ref="R151" authorId="0" shapeId="0" xr:uid="{0696B0F0-A568-42A6-9B81-946480BD83D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APR 2026</t>
        </r>
      </text>
    </comment>
    <comment ref="Q152" authorId="0" shapeId="0" xr:uid="{11B271FA-8F45-4396-825E-9920D45473E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APR 2026</t>
        </r>
      </text>
    </comment>
    <comment ref="R152" authorId="0" shapeId="0" xr:uid="{D48F319E-453A-4846-8335-D2FBA59F6F0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APR 2026</t>
        </r>
      </text>
    </comment>
    <comment ref="S152" authorId="0" shapeId="0" xr:uid="{BDCC38DE-F727-4ADC-8285-943F22F13F8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AGUST 2026</t>
        </r>
      </text>
    </comment>
    <comment ref="Q153" authorId="0" shapeId="0" xr:uid="{50F9520C-9BD7-4A79-8E58-FDE3BE096BF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APR 2026</t>
        </r>
      </text>
    </comment>
    <comment ref="R153" authorId="0" shapeId="0" xr:uid="{F43D1BF8-15C3-404E-A8B4-6795ACD10C0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154" authorId="0" shapeId="0" xr:uid="{767B6A61-2AA2-4ADE-A05E-8EC431DBAA7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APR 2026</t>
        </r>
      </text>
    </comment>
    <comment ref="R154" authorId="0" shapeId="0" xr:uid="{0BD20DA4-E1B8-45A3-99FB-95288E6EEEB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S154" authorId="0" shapeId="0" xr:uid="{7D5E5F4D-1A24-45A0-957D-A830C861AB0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JUL 2026</t>
        </r>
      </text>
    </comment>
    <comment ref="Q155" authorId="0" shapeId="0" xr:uid="{B8283586-D127-4E2B-B387-5E738DE8583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APR 2026
</t>
        </r>
      </text>
    </comment>
    <comment ref="R155" authorId="0" shapeId="0" xr:uid="{47051801-2815-435D-A64E-2F0A629A582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
</t>
        </r>
      </text>
    </comment>
    <comment ref="Q156" authorId="0" shapeId="0" xr:uid="{0675DC33-65ED-44DD-9022-62FD50DAA5C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R156" authorId="0" shapeId="0" xr:uid="{76BF2F0A-9209-4139-8849-0AE4426FBAB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Q157" authorId="0" shapeId="0" xr:uid="{1137B0B1-E638-4A1B-8922-58C6CA9E61B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R157" authorId="0" shapeId="0" xr:uid="{7D05A387-73F3-4B62-8B50-A58412C3E21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Q158" authorId="0" shapeId="0" xr:uid="{F20E0A5F-0556-4412-973B-5B06E502F7F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R158" authorId="0" shapeId="0" xr:uid="{094CFF44-D332-4D7E-965D-62B71123E75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Q159" authorId="0" shapeId="0" xr:uid="{95C89DE1-122F-4C88-9507-722C21A45BB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R159" authorId="0" shapeId="0" xr:uid="{79CE08A3-F3FD-4869-9B4B-0B754DE393B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JUN 2026</t>
        </r>
      </text>
    </comment>
    <comment ref="Q160" authorId="0" shapeId="0" xr:uid="{201D662A-3147-4D6E-928E-43234155CD1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R160" authorId="0" shapeId="0" xr:uid="{2C0DB5D0-D1E9-4F2D-899C-595E7350142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JUN 2026</t>
        </r>
      </text>
    </comment>
    <comment ref="Q161" authorId="0" shapeId="0" xr:uid="{A742B04D-B9F1-4F69-9730-CD9C2D59AA0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
</t>
        </r>
      </text>
    </comment>
    <comment ref="R161" authorId="0" shapeId="0" xr:uid="{7F92E04B-9A7C-424A-A34E-5539A3EEBC1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Q162" authorId="0" shapeId="0" xr:uid="{6C2824AD-CD3D-4A1F-887B-F03298F70B0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JUN 2026</t>
        </r>
      </text>
    </comment>
    <comment ref="R162" authorId="0" shapeId="0" xr:uid="{51EB1AF2-681C-496E-B3C1-75C416D3126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JUN 2026
</t>
        </r>
      </text>
    </comment>
    <comment ref="Q163" authorId="0" shapeId="0" xr:uid="{DE423EE0-AC72-4279-B976-382B6B04EB2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JUN 2026</t>
        </r>
      </text>
    </comment>
    <comment ref="R163" authorId="0" shapeId="0" xr:uid="{82F7D67F-70ED-4C88-9F0D-D37E2C3C4FF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Q164" authorId="0" shapeId="0" xr:uid="{3370BE2A-2C1F-48B4-AD02-BEB40FA6AAF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24 JUN 2026</t>
        </r>
      </text>
    </comment>
    <comment ref="R164" authorId="0" shapeId="0" xr:uid="{5C5AF9B7-3945-4633-A7F7-60A9C2413D5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JUN 2026</t>
        </r>
      </text>
    </comment>
    <comment ref="Q165" authorId="0" shapeId="0" xr:uid="{415795B7-F4C7-405E-B2FF-6EBEA3B65BD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 JUL 2026</t>
        </r>
      </text>
    </comment>
    <comment ref="R165" authorId="0" shapeId="0" xr:uid="{6EC9D5FD-2E4C-4D73-A8A8-5C713F5BAEB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 JUL 2026</t>
        </r>
      </text>
    </comment>
    <comment ref="Q166" authorId="0" shapeId="0" xr:uid="{CC6A1F99-700B-43F7-99A3-A37505E796E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JUL 2026</t>
        </r>
      </text>
    </comment>
    <comment ref="R166" authorId="0" shapeId="0" xr:uid="{16405909-F4FF-42F8-8408-3AD266BDE088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23 JUL 2026</t>
        </r>
      </text>
    </comment>
    <comment ref="S166" authorId="0" shapeId="0" xr:uid="{840DD05B-43D8-4B47-AE4F-ED39268EFE9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19 AGUST 2026
</t>
        </r>
      </text>
    </comment>
    <comment ref="Q167" authorId="0" shapeId="0" xr:uid="{EB1ED19E-AF2E-4826-9DCC-E8C2DA04DDAC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20 JUL 2026</t>
        </r>
      </text>
    </comment>
    <comment ref="R167" authorId="0" shapeId="0" xr:uid="{75E4B092-5885-46C9-A9A5-08B3D6F18F1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JUL 2026</t>
        </r>
      </text>
    </comment>
    <comment ref="Q168" authorId="0" shapeId="0" xr:uid="{FDF75839-DCBB-48B1-8F12-C607933FBCD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JUL 2026</t>
        </r>
      </text>
    </comment>
    <comment ref="S168" authorId="0" shapeId="0" xr:uid="{75DD49BC-DCC3-4441-8924-924F6634F94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AUSGT 2026</t>
        </r>
      </text>
    </comment>
    <comment ref="T168" authorId="0" shapeId="0" xr:uid="{31886B75-75EE-42F4-9C2B-939A62ADF317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 SEPT 2026</t>
        </r>
      </text>
    </comment>
    <comment ref="U168" authorId="0" shapeId="0" xr:uid="{30D56E6D-6BA5-485F-AB17-8B6AE4F140E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 SEPT 2026</t>
        </r>
      </text>
    </comment>
    <comment ref="V168" authorId="0" shapeId="0" xr:uid="{AD1811D6-DA88-44BA-BEE8-66482652AA1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17 SEPT 2026</t>
        </r>
      </text>
    </comment>
    <comment ref="W168" authorId="0" shapeId="0" xr:uid="{70DF78AF-37E8-4E6B-94E9-9FF4FFD0E8A6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22 SEPT 2026</t>
        </r>
      </text>
    </comment>
    <comment ref="Q169" authorId="0" shapeId="0" xr:uid="{6DB67150-C145-458C-B7E6-6CB158ABBCD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JUL 2026</t>
        </r>
      </text>
    </comment>
    <comment ref="R169" authorId="0" shapeId="0" xr:uid="{C7062B6D-FD4E-4B02-8BCE-88357D85A8F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JUL 2026</t>
        </r>
      </text>
    </comment>
    <comment ref="Q170" authorId="0" shapeId="0" xr:uid="{5E2AE7F3-4463-4E68-A40B-C71BEEF3B53B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23 JUL 2026</t>
        </r>
      </text>
    </comment>
    <comment ref="R170" authorId="0" shapeId="0" xr:uid="{0131263C-D794-4889-A5FD-24EC582163C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JUL 2026</t>
        </r>
      </text>
    </comment>
    <comment ref="Q171" authorId="0" shapeId="0" xr:uid="{F966F9C2-15A9-445B-B74A-8F3F76BF1BC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JUL 2026</t>
        </r>
      </text>
    </comment>
    <comment ref="R171" authorId="0" shapeId="0" xr:uid="{EE2EFF8A-C07A-40A3-AAF3-752BDFE6905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31 JUL 2026</t>
        </r>
      </text>
    </comment>
    <comment ref="Q172" authorId="0" shapeId="0" xr:uid="{7A04DD56-9194-4BE2-AF7E-C33A2F1DD190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20 AUGST 2026
</t>
        </r>
      </text>
    </comment>
    <comment ref="R172" authorId="0" shapeId="0" xr:uid="{119EF41C-9FAC-4E4C-A159-B6E9C130B7DE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21 AUGST 2026</t>
        </r>
      </text>
    </comment>
    <comment ref="Q173" authorId="0" shapeId="0" xr:uid="{9F373A4E-5AB3-4AE4-996A-59CDFBD8700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AGST 2026</t>
        </r>
      </text>
    </comment>
    <comment ref="R173" authorId="0" shapeId="0" xr:uid="{7281DCF3-48E0-47DA-AC7F-83C8457DC30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20 AGST 2026
</t>
        </r>
      </text>
    </comment>
    <comment ref="Q175" authorId="0" shapeId="0" xr:uid="{5EA3A678-BFFC-4704-A679-F1A5315C10D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
</t>
        </r>
      </text>
    </comment>
    <comment ref="R175" authorId="0" shapeId="0" xr:uid="{856041D2-42EC-41A9-B69E-FA3AA2F4CEC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Q176" authorId="0" shapeId="0" xr:uid="{F76D9BBA-724B-45C6-8CE0-B44A95A5D67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R176" authorId="0" shapeId="0" xr:uid="{1341E9C6-7C2D-4474-8540-B2FB0438F6A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SEPT 2026</t>
        </r>
      </text>
    </comment>
    <comment ref="Q177" authorId="0" shapeId="0" xr:uid="{6EC703A7-4AC3-46B3-AE82-66E2F4FF948E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8 SEPT 2026</t>
        </r>
      </text>
    </comment>
    <comment ref="R177" authorId="0" shapeId="0" xr:uid="{07C22377-04EC-4478-89A2-20ECFEA4057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SEPT 2026</t>
        </r>
      </text>
    </comment>
    <comment ref="Q179" authorId="0" shapeId="0" xr:uid="{8AB19723-57EB-4602-9282-8DD973BE3A0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Q180" authorId="0" shapeId="0" xr:uid="{599AFB97-1B7E-4F1B-B864-67F7DFEE5B4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R180" authorId="0" shapeId="0" xr:uid="{D9889FE8-6DEF-491D-935D-9C3FA1B4B46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SEPT 2026</t>
        </r>
      </text>
    </comment>
    <comment ref="Q181" authorId="0" shapeId="0" xr:uid="{766EDBFC-8DF4-4590-904D-452D8FDD663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
</t>
        </r>
      </text>
    </comment>
    <comment ref="Q183" authorId="0" shapeId="0" xr:uid="{8416AF8B-98BB-4998-9D23-C9888A257BC0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  <comment ref="Q184" authorId="0" shapeId="0" xr:uid="{A5F76968-9D27-4FA0-A61E-644CDB85BC8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SEPT 2026</t>
        </r>
      </text>
    </comment>
    <comment ref="R184" authorId="0" shapeId="0" xr:uid="{29CD85DF-3A85-4BB1-8400-03FA6C6FF1B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
</t>
        </r>
      </text>
    </comment>
    <comment ref="Q185" authorId="0" shapeId="0" xr:uid="{67CB056F-4A76-4050-8325-64E13E468A0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SEPT 2026</t>
        </r>
      </text>
    </comment>
    <comment ref="R185" authorId="0" shapeId="0" xr:uid="{7A75DC1E-D6B6-45C4-A6DB-0B65782F0F3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28 SEPT 2026
</t>
        </r>
      </text>
    </comment>
    <comment ref="Q186" authorId="0" shapeId="0" xr:uid="{7902B18F-BD85-4DA0-9BD1-61100F062D7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30 SEPT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Miranty D. S</author>
  </authors>
  <commentList>
    <comment ref="Q3" authorId="0" shapeId="0" xr:uid="{D312FD3E-ED2D-4FEB-8EE9-10863D83FD6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</t>
        </r>
      </text>
    </comment>
    <comment ref="R3" authorId="0" shapeId="0" xr:uid="{D0BB4478-8E10-4EF5-BF88-4C1178C19AA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4" authorId="0" shapeId="0" xr:uid="{4424C816-5BFC-4581-B32E-FF50CC1BF8F5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FEB 2026
</t>
        </r>
      </text>
    </comment>
    <comment ref="R4" authorId="0" shapeId="0" xr:uid="{D5F82A88-A10C-453F-AEC0-C6BFACDEDD5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5" authorId="0" shapeId="0" xr:uid="{4ACCB562-26C0-47F0-93EA-8D59178B780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29 JAN 2026
</t>
        </r>
      </text>
    </comment>
    <comment ref="R5" authorId="0" shapeId="0" xr:uid="{541DC135-A06A-4995-9845-BB20696DF4E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FEB 2026</t>
        </r>
      </text>
    </comment>
    <comment ref="Q7" authorId="0" shapeId="0" xr:uid="{C30E3B7B-E4B6-4147-A714-E97C046EFDB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25 FEB 2026</t>
        </r>
      </text>
    </comment>
    <comment ref="R7" authorId="0" shapeId="0" xr:uid="{1184795D-1AC3-4087-8506-E67B765F6E9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26 FEB 2026</t>
        </r>
      </text>
    </comment>
    <comment ref="Q8" authorId="0" shapeId="0" xr:uid="{3F12F5E4-A4CE-4283-B65E-ABE6E077780F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 MAR 2026</t>
        </r>
      </text>
    </comment>
    <comment ref="R8" authorId="0" shapeId="0" xr:uid="{B2C4C566-A08A-4C00-B8EB-DE09BA65CDF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3 MAR 2026</t>
        </r>
      </text>
    </comment>
    <comment ref="Q9" authorId="0" shapeId="0" xr:uid="{73A5AC97-1DA4-48EE-A910-4E6C71B28FD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MAR 2026</t>
        </r>
      </text>
    </comment>
    <comment ref="R9" authorId="0" shapeId="0" xr:uid="{685DA8C1-1D90-4D76-80BE-2ADEDBBA449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MAR 2026</t>
        </r>
      </text>
    </comment>
    <comment ref="Q10" authorId="0" shapeId="0" xr:uid="{47AA27FA-DFA7-4873-91B4-E09EA257828B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MAR 2026
</t>
        </r>
      </text>
    </comment>
    <comment ref="R10" authorId="0" shapeId="0" xr:uid="{19C38980-9546-458A-BF49-EEB6761EDC65}">
      <text>
        <r>
          <rPr>
            <b/>
            <sz val="9"/>
            <color indexed="81"/>
            <rFont val="Tahoma"/>
            <family val="2"/>
          </rPr>
          <t>Miranty D. S:</t>
        </r>
        <r>
          <rPr>
            <sz val="9"/>
            <color indexed="81"/>
            <rFont val="Tahoma"/>
            <family val="2"/>
          </rPr>
          <t xml:space="preserve">
26 MAR 2026</t>
        </r>
      </text>
    </comment>
    <comment ref="Q11" authorId="0" shapeId="0" xr:uid="{BE2E939A-0F64-44ED-945D-3B39C25C92F4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MAR 2026</t>
        </r>
      </text>
    </comment>
    <comment ref="R11" authorId="0" shapeId="0" xr:uid="{D780504C-5BDE-41D8-B856-8647047AA0C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6 APR 2026</t>
        </r>
      </text>
    </comment>
    <comment ref="Q12" authorId="0" shapeId="0" xr:uid="{BBE91403-58E1-493D-AB21-102E5003C54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APR 2026</t>
        </r>
      </text>
    </comment>
    <comment ref="R12" authorId="0" shapeId="0" xr:uid="{199C19E7-D705-440C-9976-91B3457E05A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13 APR 2026</t>
        </r>
      </text>
    </comment>
    <comment ref="Q13" authorId="0" shapeId="0" xr:uid="{10A8B756-64EF-4C02-BD55-44185B63827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APR 2026</t>
        </r>
      </text>
    </comment>
    <comment ref="R13" authorId="0" shapeId="0" xr:uid="{4E4C42C8-7672-4756-804D-F4F9962CB2B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9 APR 2026</t>
        </r>
      </text>
    </comment>
    <comment ref="Q14" authorId="0" shapeId="0" xr:uid="{0EBB1449-EC06-4DCD-A198-BC5B4A28519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APR 2026</t>
        </r>
      </text>
    </comment>
    <comment ref="R14" authorId="0" shapeId="0" xr:uid="{A21EC50D-6FE6-45DA-9C60-46A812B72A1E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8 JUN 2026</t>
        </r>
      </text>
    </comment>
    <comment ref="Q15" authorId="0" shapeId="0" xr:uid="{A9DEE5FC-7E51-48A5-AA2C-58B34E98D433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APR 2026
</t>
        </r>
      </text>
    </comment>
    <comment ref="R15" authorId="0" shapeId="0" xr:uid="{3A5D80A2-D731-4CAB-8E59-62554B396D8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21 APR 2026
</t>
        </r>
      </text>
    </comment>
    <comment ref="Q16" authorId="0" shapeId="0" xr:uid="{70E3B3D1-C2FF-4A06-A687-AACD570D0A1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R16" authorId="0" shapeId="0" xr:uid="{96C4054A-7538-4330-AC21-4681CDB261C1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Q17" authorId="0" shapeId="0" xr:uid="{42B25C3E-48CB-4392-8C9E-E916BA77E8E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R17" authorId="0" shapeId="0" xr:uid="{3686993F-45E2-48E8-8F1A-2CC53898F85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MEI 2026</t>
        </r>
      </text>
    </comment>
    <comment ref="Q18" authorId="0" shapeId="0" xr:uid="{81C24F8A-D297-4BAB-9FD7-419106BB243D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R18" authorId="0" shapeId="0" xr:uid="{EB47924B-A2CD-4107-90A9-8501FCA48E9A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18 MEI 2026</t>
        </r>
      </text>
    </comment>
    <comment ref="Q19" authorId="0" shapeId="0" xr:uid="{F94F8C18-B6CF-48DD-81D0-F000A0B146C2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R19" authorId="0" shapeId="0" xr:uid="{980E3029-7557-4EC1-AF78-A626B483200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JUN 2026</t>
        </r>
      </text>
    </comment>
    <comment ref="Q20" authorId="0" shapeId="0" xr:uid="{DE09C542-E2A7-4E53-AF12-5150513ECA9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R20" authorId="0" shapeId="0" xr:uid="{E6B5B0BC-A9E9-49A2-A5A5-7A07534F36E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5 JUN 2026</t>
        </r>
      </text>
    </comment>
    <comment ref="Q21" authorId="0" shapeId="0" xr:uid="{C285FDAE-495F-4DAE-B107-91CF755324A9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
</t>
        </r>
      </text>
    </comment>
    <comment ref="R21" authorId="0" shapeId="0" xr:uid="{69C0553D-D5E8-4639-B37C-AD7D1CD44907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4 JUN 2026</t>
        </r>
      </text>
    </comment>
    <comment ref="Q22" authorId="0" shapeId="0" xr:uid="{49874626-6859-4A94-A7A3-FDE6C6A73CEC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JUN 2026</t>
        </r>
      </text>
    </comment>
    <comment ref="R22" authorId="0" shapeId="0" xr:uid="{74AAC40D-DDF4-47C3-8B88-D87A2DEABDF6}">
      <text>
        <r>
          <rPr>
            <b/>
            <sz val="9"/>
            <color indexed="81"/>
            <rFont val="Tahoma"/>
            <charset val="1"/>
          </rPr>
          <t>Miranty D. S:</t>
        </r>
        <r>
          <rPr>
            <sz val="9"/>
            <color indexed="81"/>
            <rFont val="Tahoma"/>
            <charset val="1"/>
          </rPr>
          <t xml:space="preserve">
15 JUN 2026
</t>
        </r>
      </text>
    </comment>
  </commentList>
</comments>
</file>

<file path=xl/sharedStrings.xml><?xml version="1.0" encoding="utf-8"?>
<sst xmlns="http://schemas.openxmlformats.org/spreadsheetml/2006/main" count="1630" uniqueCount="473">
  <si>
    <t>No</t>
  </si>
  <si>
    <t>Dept</t>
  </si>
  <si>
    <t>Pengajuan</t>
  </si>
  <si>
    <t>Approval BM</t>
  </si>
  <si>
    <t>Disposisi</t>
  </si>
  <si>
    <t>Status</t>
  </si>
  <si>
    <t>REFF</t>
  </si>
  <si>
    <t>DISPOSISI</t>
  </si>
  <si>
    <t>Qty</t>
  </si>
  <si>
    <t>IDR</t>
  </si>
  <si>
    <t>Keterangan</t>
  </si>
  <si>
    <t>UPDATE</t>
  </si>
  <si>
    <t>Selesai</t>
  </si>
  <si>
    <t>Dikirim Ke User</t>
  </si>
  <si>
    <t>P'Malv</t>
  </si>
  <si>
    <t>RET</t>
  </si>
  <si>
    <t>P'Hend</t>
  </si>
  <si>
    <t>DISPOSISI REGIONAL PERIODE 2025</t>
  </si>
  <si>
    <t xml:space="preserve">Approval </t>
  </si>
  <si>
    <t xml:space="preserve">Pengajuan </t>
  </si>
  <si>
    <t>Diterima</t>
  </si>
  <si>
    <t>BM</t>
  </si>
  <si>
    <t>P'Jojo</t>
  </si>
  <si>
    <t>DONE</t>
  </si>
  <si>
    <t>HC</t>
  </si>
  <si>
    <t>CORP ORG</t>
  </si>
  <si>
    <t>P'Bas</t>
  </si>
  <si>
    <t>PEMBELIAN MOBILE DEVICE</t>
  </si>
  <si>
    <t>Pengajuan Fee untuk Team Exim PT Three Six World</t>
  </si>
  <si>
    <t>Permohonan Cuti Khusus Karyawan Sakit a.n M. Ramdhan</t>
  </si>
  <si>
    <t>001/DISP-REGJB/BDO/I/2026</t>
  </si>
  <si>
    <t>002/DISP-REGJB/BDO/I/2026</t>
  </si>
  <si>
    <t>Disposisi Pengajuan Flat Tarif Kiriman Dokumen Samsat Kawaluyaan Bandung</t>
  </si>
  <si>
    <t>Disposisi Permohonan Biaya Support Acara Penandatanganan Kerjasama dengan DITAJENAD TNI AD</t>
  </si>
  <si>
    <t>003/DISP-REGJB/BDO/I/2026</t>
  </si>
  <si>
    <t>004/DISP-REGJB/BDO/I/2026</t>
  </si>
  <si>
    <t>Disposisi Program Cashback BENING INDONESIA BANDUNG</t>
  </si>
  <si>
    <t>005/DISP-REGJB/BDO/I/2026</t>
  </si>
  <si>
    <t>006/DISP-REGJB/BDO/I/2026</t>
  </si>
  <si>
    <t>007/DISP-REGJB/BDO/I/2026</t>
  </si>
  <si>
    <t>GA</t>
  </si>
  <si>
    <t>Pengajuan  Biaya Operasional Drop Point Rancamanyar</t>
  </si>
  <si>
    <t>P'Indr</t>
  </si>
  <si>
    <t>008/DISP-REGJB/BDO/I/2026</t>
  </si>
  <si>
    <t>Pengajuan Write Off Piutang Corporate Cabang Bandung 2025</t>
  </si>
  <si>
    <t>Pengajuan Biaya Operasional Untuk Smart Point  Suryakanti - Bandung</t>
  </si>
  <si>
    <t>009/DISP-REGJB/BDO/I/2026</t>
  </si>
  <si>
    <t>Pengajuan Cashback Fee untuk Ibu Nadian Mardiana</t>
  </si>
  <si>
    <t>#001/DISP/BDO/ACU/I/2026</t>
  </si>
  <si>
    <t>Rp. 21.450.000</t>
  </si>
  <si>
    <t>#002/DISP/BDO/ACU/I/2026</t>
  </si>
  <si>
    <t>PERBAIKAN FOLDING GATE KANTOR CIPANAS CIANJUR &amp; KANTOR CIWIDEY SOREANG</t>
  </si>
  <si>
    <t>#003/DISP/BDO/ACU/I/2026</t>
  </si>
  <si>
    <t>PEMBELIAN INFOCUS</t>
  </si>
  <si>
    <t>Rp. 9.500.000,-</t>
  </si>
  <si>
    <t>Rp. 20.400.000,-</t>
  </si>
  <si>
    <t>010/DISP-REGJB/BDO/I/2026</t>
  </si>
  <si>
    <t>011/DISP-REGJB/BDO/I/2026</t>
  </si>
  <si>
    <t>Pengajuan biaya operasional Kurir Kiriman sampel SHK Dinas Kesehatan Kota Bandung</t>
  </si>
  <si>
    <t>Disposisi Pengajuan Flat Tarif Project Pengiriman Surat Somasi FIF/ND Law Partnership</t>
  </si>
  <si>
    <t>FIN</t>
  </si>
  <si>
    <t>012/DISP-REGJB/BDO/I/2026</t>
  </si>
  <si>
    <t>Pengajuan biaya operasional untuk kerjasama pengiriman JNE dan Dinas Kesehatan Kota Bandung</t>
  </si>
  <si>
    <t>P'Awi</t>
  </si>
  <si>
    <t>P'Jose</t>
  </si>
  <si>
    <t>P'Edi</t>
  </si>
  <si>
    <t>P'Chan</t>
  </si>
  <si>
    <t>013/DISP-REGJB/BDO/II/2026</t>
  </si>
  <si>
    <t>014/DISP-REGJB/BDO/II/2026</t>
  </si>
  <si>
    <t>Pengajuan  Biaya Operasional Lahan Parkir Cimareme</t>
  </si>
  <si>
    <t>Pengajuan  Biaya Operasional Lahan Parkir di PIA Hotel</t>
  </si>
  <si>
    <t>015/DISP-REGJB/BDO/II/2026</t>
  </si>
  <si>
    <t>Pengajuan  Biaya Operasional Lahan Parkir Gadobangkong</t>
  </si>
  <si>
    <t>016/DISP-REGJB/BDO/II/2026</t>
  </si>
  <si>
    <t>017/DISP-REGJB/BDO/II/2026</t>
  </si>
  <si>
    <t>Pengajuan Persetujuan Biaya Sewa dan Operasional Drop Point Margahayu</t>
  </si>
  <si>
    <t>Pengajuan Support CSR JNE Konser Amal &amp; Doa Bersama Bandung Raya Lincah &amp; Pemerintah Kabupaten Bandung</t>
  </si>
  <si>
    <t>018/DISP-REGJB/BDO/II/2026</t>
  </si>
  <si>
    <t>Pengajuan Biaya Sewa dan Operasional Drop Point Dayeuhkolot</t>
  </si>
  <si>
    <t>019/DISP-REGJB/BDO/II/2026</t>
  </si>
  <si>
    <t>020/DISP-REGJB/BDO/II/2026</t>
  </si>
  <si>
    <t>Pengajuan Destroy Barang (Batch 12)</t>
  </si>
  <si>
    <t>021/DISP-REGJB/BDO/II/2026</t>
  </si>
  <si>
    <t>Pengajuan Penjualan Eksternal (Vendor) – Batch 30</t>
  </si>
  <si>
    <t>Permohonan Cuti Khusus Karyawan Sakit a.n Trio Sujadi</t>
  </si>
  <si>
    <t>022/DISP-REGJB/BDO/II/2026</t>
  </si>
  <si>
    <t>Pengajuan Distribusi Bingkisan Lingkungan Kantor dan Relasi JNE Bandung 2026</t>
  </si>
  <si>
    <t>023/DISP-REGJB/BDO/II/2026</t>
  </si>
  <si>
    <t>Pengajuan Anggaran Kegiatan Ramadhan Shopping &amp; Buka Bersama Yatim</t>
  </si>
  <si>
    <t>024/DISP-REGJB/BDO/II/2026</t>
  </si>
  <si>
    <t>Pengajuan Dana CSR Bantuan Kecelakaan a.n Galih Rama</t>
  </si>
  <si>
    <t>#005/DISP/BDO/ACU/II/2026</t>
  </si>
  <si>
    <t>Rp.   13.600.000,-</t>
  </si>
  <si>
    <t>P'Robi</t>
  </si>
  <si>
    <t>025/DISP-REGJB/BDO/II/2026</t>
  </si>
  <si>
    <t>Pengajuan Penjualan Internal (Karyawan) – Batch 3</t>
  </si>
  <si>
    <t>026/DISP-REGJB/BDO/II/2026</t>
  </si>
  <si>
    <t>Pengajuan Kegiatan Skrining Kesehatan / Tes Narkoba</t>
  </si>
  <si>
    <t>Rp. 66.785.000</t>
  </si>
  <si>
    <t>#004/DISP/BDO/ACU/II/2026</t>
  </si>
  <si>
    <t>PEMBELIAN HARDISK</t>
  </si>
  <si>
    <t>027/DISP-REGJB/BDO/II/2026</t>
  </si>
  <si>
    <t>SALES</t>
  </si>
  <si>
    <t>Pengajuan Parcel Customer Pareto KCU Bandung</t>
  </si>
  <si>
    <t>028/DISP-REGJB/BDO/II/2026</t>
  </si>
  <si>
    <t>Pengajuan Pemberian Iftar Customer Pareto Social Commerce Bandung</t>
  </si>
  <si>
    <t>Rp. 4.000.000</t>
  </si>
  <si>
    <t>SOSCOM</t>
  </si>
  <si>
    <t>Rp.     7.500.000,-</t>
  </si>
  <si>
    <t>Rp.   18.750.000,-</t>
  </si>
  <si>
    <t>#006/DISP/BDO/ACU/II/2026</t>
  </si>
  <si>
    <t>PEMBELIAN MOBILE DEVICE &amp; SCANNER WIRELESS</t>
  </si>
  <si>
    <t>029/DISP-REGJB/BDO/III/2026</t>
  </si>
  <si>
    <t>030/DISP-REGJB/BDO/III/2026</t>
  </si>
  <si>
    <t>Pengajuan cashback Fee untuk PIC Tiger Association Bandung</t>
  </si>
  <si>
    <t>Pengajuan Sewa Armada Harian Vendor Lokal</t>
  </si>
  <si>
    <t>GRT</t>
  </si>
  <si>
    <t>031/DISP-REGJB/BDO/III/2026</t>
  </si>
  <si>
    <t>Pengajuan Sewa Armada Harian Vendor Lokal BV</t>
  </si>
  <si>
    <t>Rp. 1.400.000</t>
  </si>
  <si>
    <t>#007/DISP/BDO/ACU/III/2026</t>
  </si>
  <si>
    <t>PEMBELIAN PERANGKAT CCTV</t>
  </si>
  <si>
    <t>Rp.  14.000.000</t>
  </si>
  <si>
    <t>#008/DISP/BDO/ACU/III/2026</t>
  </si>
  <si>
    <t>#009/DISP/BDO/ACU/III/2026</t>
  </si>
  <si>
    <t>PEMASANGAN KANOPI AREA PARKIR KANTOR GEDEBAGE</t>
  </si>
  <si>
    <t>Rp. 24.788.250</t>
  </si>
  <si>
    <t>032/DISP-REGJB/BDO/III/2026</t>
  </si>
  <si>
    <t xml:space="preserve">Pengajuan Biaya SDM untuk Proses Pencetakan Surat Tilang POLDA Jawa Barat </t>
  </si>
  <si>
    <t>033/DISP-REGJB/BDO/III/2026</t>
  </si>
  <si>
    <t>Pengajuan Tunjangan Beras untuk Pekerja Outsourcing di JNE Cab. Bandung</t>
  </si>
  <si>
    <t>034/DISP-REGJB/BDO/III/2026</t>
  </si>
  <si>
    <t>Pengajuan Akuisisi Cabang Mitra Tanggeung</t>
  </si>
  <si>
    <t>035/DISP-REGJB/BDO/III/2026</t>
  </si>
  <si>
    <t>Rp, 271,500,000</t>
  </si>
  <si>
    <t>P'Fikri</t>
  </si>
  <si>
    <t>P'Ayung</t>
  </si>
  <si>
    <t>ACC</t>
  </si>
  <si>
    <t>036/DISP-REGJB/BDO/III/2026</t>
  </si>
  <si>
    <t>Disposisi Pengajuan Flat Tarif Kiriman Dokumen Samsat Rancaekek Kab Bandung</t>
  </si>
  <si>
    <t>037/DISP-REGJB/BDO/III/2026</t>
  </si>
  <si>
    <t xml:space="preserve">Pengajuan Promo Flat YES Tujuan Jawa Barat dan JABODETABEKCIKCIL </t>
  </si>
  <si>
    <t>038/DISP-REGJB/BDO/IV/2026</t>
  </si>
  <si>
    <t>Pengajuan  Biaya Operasional KP Cidaun</t>
  </si>
  <si>
    <t>039/DISP-REGJB/BDO/IV/2026</t>
  </si>
  <si>
    <t>Pengajuan anggaran Kegiatan  Nonton Bareng Halal Bihalal JNE 2026</t>
  </si>
  <si>
    <t>P'Wahyu</t>
  </si>
  <si>
    <t>Píndr</t>
  </si>
  <si>
    <t>040/DISP-REGJB/BDO/IV/2026</t>
  </si>
  <si>
    <t>Pengajuan Dana CSR Bantuan Kecelakaan atas nama Gilang M Ropi</t>
  </si>
  <si>
    <t>#010/DISP/BDO/ACU/IV/2026</t>
  </si>
  <si>
    <t>PEMBELIAN LAPTOP ACCOUNT EXECUTIVE, IREA UNIT HEAD &amp; TRAFFIC STAFF</t>
  </si>
  <si>
    <t>#011/DISP/BDO/ACU/IV/2026</t>
  </si>
  <si>
    <t>PENGAJUAN PENAMBAHAN BUDGET UNTUK PEMBELIAN ASSET KENDARAAN</t>
  </si>
  <si>
    <t>Rp. 7.000.000</t>
  </si>
  <si>
    <t>041/DISP-REGJB/BDO/IV/2026</t>
  </si>
  <si>
    <t>042/DISP-REGJB/BDO/IV/2026</t>
  </si>
  <si>
    <t>Pengajuan Penjualan Eksternal (Vendor) – Batch 31</t>
  </si>
  <si>
    <t>Pengajuan Penyaluran Dana +J45+K39</t>
  </si>
  <si>
    <t>Pengajuan Destroy Barang (Batch 13)</t>
  </si>
  <si>
    <t>043/DISP-REGJB/BDO/IV/2026</t>
  </si>
  <si>
    <t>044/DISP-REGJB/BDO/IV/2026</t>
  </si>
  <si>
    <t>045/DISP-REGJB/BDO/IV/2026</t>
  </si>
  <si>
    <t>Pengajuan Penjualan Internal (Karyawan) – Batch 4</t>
  </si>
  <si>
    <t>Pengajuan  Biaya Operasional Untuk KP Abdullah Bin Nuh</t>
  </si>
  <si>
    <t>046/DISP-REGJB/BDO/IV/2026</t>
  </si>
  <si>
    <t>Pencabutan berkas perkara dan penarikan armada D 8405 FX</t>
  </si>
  <si>
    <t>047/DISP-REGJB/BDO/IV/2026</t>
  </si>
  <si>
    <t>048/DISP-REGJB/BDO/IV/2026</t>
  </si>
  <si>
    <t>Pengajuan biaya operasional Kurir Kiriman Projek Dinas Kesehatan Kab. Bandung Barat</t>
  </si>
  <si>
    <t>049/DISP-REGJB/BDO/IV/2026</t>
  </si>
  <si>
    <t>Pengajuan Biaya CI Competition JNE Bandung ( Mindlab 90)</t>
  </si>
  <si>
    <t>050/DISP-REGJB/BDO/IV/2026</t>
  </si>
  <si>
    <t>051/DISP-REGJB/BDO/IV/2026</t>
  </si>
  <si>
    <t>Pengajuan Persetujuan Biaya Sewa dan Operasional Drop Point Bojongsoang</t>
  </si>
  <si>
    <t>Pengajuan  Biaya Operasional Untuk Smart Point  Suryakanti - Bandung</t>
  </si>
  <si>
    <t>052/DISP-REGJB/BDO/IV/2026</t>
  </si>
  <si>
    <t>#012/DISP/BDO/ACU/IV/2026</t>
  </si>
  <si>
    <t>PEMBELIAN LAPTOP CONTROL TOWER UNIT HEAD &amp; DELIVERY UNIT HEAD</t>
  </si>
  <si>
    <t>Rp 40.470.000,-</t>
  </si>
  <si>
    <t>#013/DISP/BDO/ACU/IV/2026</t>
  </si>
  <si>
    <t>PEMBELIAN SCANNER</t>
  </si>
  <si>
    <t>Rp 4.500.000,-</t>
  </si>
  <si>
    <t>P'indr</t>
  </si>
  <si>
    <t>053/DISP-REGJB/BDO/IV/2026</t>
  </si>
  <si>
    <t>Pengajuan Penambahan Sub Branch dibawah Cianjur &amp; Penambahan Koordinator</t>
  </si>
  <si>
    <t>054/DISP-REGJB/BDO/IV/2026</t>
  </si>
  <si>
    <t>Pengajuan  Biaya Operasional Untuk Cabang Sumedang (Pangkor)</t>
  </si>
  <si>
    <t>055/DISP-REGJB/BDO/IV/2026</t>
  </si>
  <si>
    <t>Pengajuan Tarif untuk Kerjasama dengan Direktorat Perhubungan Darat Kementrian Perhubungan RI</t>
  </si>
  <si>
    <t>056/DISP-REGJB/BDO/IV/2026</t>
  </si>
  <si>
    <t>Disposisi Pengajuan Spesial Tarif (flat) Kiriman Dokumen Samsat Pajajaran Bandung</t>
  </si>
  <si>
    <t>057/DISP-REGJB/BDO/IV/2026</t>
  </si>
  <si>
    <t>Pengajuan  Biaya Operasional KP Sindangbarang</t>
  </si>
  <si>
    <t>#014/DISP/BDO/ACU/IV/2026</t>
  </si>
  <si>
    <t>Rp. 5.000.000</t>
  </si>
  <si>
    <t>#015/DISP/BDO/ACU/IV/2026</t>
  </si>
  <si>
    <t>Rp. 7.500.000,-</t>
  </si>
  <si>
    <t>058/DISP-REGJB/BDO/V/2026</t>
  </si>
  <si>
    <t>Pengajuan Biaya Operasional KP Sindangbarang 1 Mei 2026 – 30 April 2027</t>
  </si>
  <si>
    <t>059/DISP-REGJB/BDO/V/2026</t>
  </si>
  <si>
    <t>Disposisi Program Cashback #GRAHA BISNISHUB/BANDUNG</t>
  </si>
  <si>
    <t>060/DISP-REGJB/BDO/V/2026</t>
  </si>
  <si>
    <t>061/DISP-REGJB/BDO/V/2026</t>
  </si>
  <si>
    <t xml:space="preserve">Pengajuan cashback Fee untuk PIC PT. Benings Glow Indonesia   </t>
  </si>
  <si>
    <t>P'Feri</t>
  </si>
  <si>
    <t>062/DISP-REGJB/BDO/V/2026</t>
  </si>
  <si>
    <t>Pengajuan Budget Pelaksanaan Penyembelihan Hewan Qurban JNE Bandung 1447 H</t>
  </si>
  <si>
    <t>063/DISP-REGJB/BDO/V/2026</t>
  </si>
  <si>
    <t>Permohonan Cuti Khusus Karyawan Sakit a.n Sansan Nurseha</t>
  </si>
  <si>
    <t>064/DISP-REGJB/BDO/V/2026</t>
  </si>
  <si>
    <t>Pengajuan Tarif  untuk Kerjasama Project Kiriman Sampel SHK dengan Dinas Kesehatan Kota Cimahi</t>
  </si>
  <si>
    <t>065/DISP-REGJB/BDO/V/2026</t>
  </si>
  <si>
    <t>Pengajuan Approval Perubahan Legalitas Customer PT Digital Laskar Pelangi Menjadi PT Lincah Cipta Harapan (Lincah)</t>
  </si>
  <si>
    <t>066/DISP-REGJB/BDO/V/2026</t>
  </si>
  <si>
    <t>Pengajuan Dana CSR Karyawan Meninggal Dunia</t>
  </si>
  <si>
    <t>068/DISP-REGJB/BDO/V/2026</t>
  </si>
  <si>
    <t>Pengajuan Destroy Barang (Batch 14)</t>
  </si>
  <si>
    <t>069/DISP-REGJB/BDO/V/2026</t>
  </si>
  <si>
    <t>Pengajuan Penjualan Eksternal (Vendor) – Batch 32</t>
  </si>
  <si>
    <t>#016/DISP/BDO/ACU/V/2026</t>
  </si>
  <si>
    <t>PEMBELIAN PERANGKAT CCTV, SWITCH DAN TROLLEY SAMBUNG</t>
  </si>
  <si>
    <t>Rp.     6.710.000,-</t>
  </si>
  <si>
    <t>Pengajuan Program Sharing &amp; Akuisisi Customer TikTok</t>
  </si>
  <si>
    <t>Rp. 7.750.000</t>
  </si>
  <si>
    <t>067/DISP-REGJB/BDO/V/2026</t>
  </si>
  <si>
    <t>#017/DISP/BDO/ACU/V/2026</t>
  </si>
  <si>
    <t>PEMBELIAN SCANNER BARCODE</t>
  </si>
  <si>
    <t>Rp. 4.500.000,-</t>
  </si>
  <si>
    <t>#018/DISP/BDO/ACU/V/2026</t>
  </si>
  <si>
    <t>PEMBELIAN PRINTER BARCODE</t>
  </si>
  <si>
    <t>Rp. 1.723.850,-</t>
  </si>
  <si>
    <t>070/DISP-REGJB/BDO/VI/2026</t>
  </si>
  <si>
    <t>Pengajuan Flat Tarif Distribusi Pajak Kendaraan Bermotor Jawa Barat – PT Practell Amanah Asia (Jumpapay.com)</t>
  </si>
  <si>
    <t>071/DISP-REGJB/BDO/VI/2026</t>
  </si>
  <si>
    <t>Pengajuan  Biaya Operasional Untuk  Smartpoint Cibeber</t>
  </si>
  <si>
    <t>#019/DISP/BDO/ACU/VI/2026</t>
  </si>
  <si>
    <t>PERBAIKAN ROLLING DOOR HUB CIBEREUM</t>
  </si>
  <si>
    <t>Rp. 22.400.000</t>
  </si>
  <si>
    <t>072/DISP-REGJB/BDO/VI/2026</t>
  </si>
  <si>
    <t>Pengajuan Program Happy Hours</t>
  </si>
  <si>
    <t>073/DISP-REGJB/BDO/VI/2026</t>
  </si>
  <si>
    <t>074/DISP-REGJB/BDO/VI/2026</t>
  </si>
  <si>
    <t>075/DISP-REGJB/BDO/VI/2026</t>
  </si>
  <si>
    <t>Pengajuan Penjualan Eksternal (Vendor) – Batch 33</t>
  </si>
  <si>
    <t>Pengajuan Destroy Barang (Batch 15)</t>
  </si>
  <si>
    <t>#020/DISP/BDO/ACU/V/2026</t>
  </si>
  <si>
    <t>Rp. 9.000.000</t>
  </si>
  <si>
    <t>Approval Head Regional</t>
  </si>
  <si>
    <t>Approval VP</t>
  </si>
  <si>
    <t>Approval Direksi</t>
  </si>
  <si>
    <t>076/DISP-REGJB/BDO/VI/2026</t>
  </si>
  <si>
    <t xml:space="preserve">Disposisi Pengajuan Flat Tarif Kiriman Dokumen Samsat Kab Sumedang </t>
  </si>
  <si>
    <t>#021/DISP/BDO/ACU/VI/2026</t>
  </si>
  <si>
    <t xml:space="preserve"> PEMBELIAN PRINTER HP LASERJET COLOR</t>
  </si>
  <si>
    <t>Rp. 3.500.000,-</t>
  </si>
  <si>
    <t>Approval Non BM</t>
  </si>
  <si>
    <t>SLA BM</t>
  </si>
  <si>
    <t>SLA NON BM</t>
  </si>
  <si>
    <t>Column Labels</t>
  </si>
  <si>
    <t>achive</t>
  </si>
  <si>
    <t>tidak achive</t>
  </si>
  <si>
    <t>Grand Total</t>
  </si>
  <si>
    <t>Count of REFF</t>
  </si>
  <si>
    <t>Row Labels</t>
  </si>
  <si>
    <t>Total Count of REFF</t>
  </si>
  <si>
    <t>Total Count of REFF2</t>
  </si>
  <si>
    <t>Count of REFF2</t>
  </si>
  <si>
    <t>DEPT</t>
  </si>
  <si>
    <t>Pengajuan User</t>
  </si>
  <si>
    <t>Pengajuan Disposisi</t>
  </si>
  <si>
    <t>ASSET / NON ASSET</t>
  </si>
  <si>
    <t>NON ASSET</t>
  </si>
  <si>
    <t>ASSET</t>
  </si>
  <si>
    <t>077/DISP-REGJB/BDO/VI/2026</t>
  </si>
  <si>
    <t>Pengajuan Destroy Dokumen Undelivery Kementrian Perhubungan</t>
  </si>
  <si>
    <t>10 Juni 2026: Akan di meetingkan terlebih dahulu</t>
  </si>
  <si>
    <t>19 juni 2026: masih di evaluasi oleh ibu zanet</t>
  </si>
  <si>
    <t>#022/DISP/BDO/ACU/VI/2026</t>
  </si>
  <si>
    <t>PEMBELIAN LAPTOP CORPORATE CARE CENTER</t>
  </si>
  <si>
    <t>Rp. 12.010.000</t>
  </si>
  <si>
    <t>078/DISP-REGJB/BDO/VI/2026</t>
  </si>
  <si>
    <t xml:space="preserve">Disposisi Tarif Intracity RS Baros Cimahi </t>
  </si>
  <si>
    <t>Disposisi Selesai</t>
  </si>
  <si>
    <t>Disposisi Kirim Ke User</t>
  </si>
  <si>
    <t>#023/DISP/BDO/ACU/VI/2026</t>
  </si>
  <si>
    <t>Pembelian Laptop Performance Analyst Officer</t>
  </si>
  <si>
    <t>079/DISP-REGJB/BDO/VII/2026</t>
  </si>
  <si>
    <t>Pengajuan  Biaya Operasional KP Sukanagara</t>
  </si>
  <si>
    <t>Rp. 14.230.000</t>
  </si>
  <si>
    <t>080/DISP-REGJB/BDO/VII/2026</t>
  </si>
  <si>
    <t>#024/DISP/BDO/ACU/VI/2026</t>
  </si>
  <si>
    <t>PERBAIKAN DINDING JNE SOEKARNO HATTA 452</t>
  </si>
  <si>
    <t>Rp 97.459.365,-</t>
  </si>
  <si>
    <t xml:space="preserve">Permohonan Cuti Khusus Karyawan Sakit a.n M. Ramdhan		  </t>
  </si>
  <si>
    <t>081/DISP-REGJB/BDO/VII/2026</t>
  </si>
  <si>
    <t>Pengajuan Destroy Barang (Batch 16)</t>
  </si>
  <si>
    <t>082/DISP-REGJB/BDO/VII/2026</t>
  </si>
  <si>
    <t>Pengajuan Penjualan Eksternal (Vendor) – Batch 34</t>
  </si>
  <si>
    <t>Pengajuan biaya operasional kurir kiriman sampel SHK Dinas Kesehatan Kota Cimahi</t>
  </si>
  <si>
    <t>084/DISP-REGJB/BDO/VII/2026</t>
  </si>
  <si>
    <t>085/DISP-REGJB/BDO/VII/2026</t>
  </si>
  <si>
    <t>Pengajuan  Biaya Operasional Untuk Cabang Sumedang</t>
  </si>
  <si>
    <t>083/DISP-REGJB/BDO/VII/2026</t>
  </si>
  <si>
    <t>086/DISP-REGJB/BDO/VII/2026</t>
  </si>
  <si>
    <t>Pengajuan Tunjangan PJS dan Tunjangan Komunikasi Bagi Pic Section Head BDO</t>
  </si>
  <si>
    <t>P' Ibrh</t>
  </si>
  <si>
    <t>Pengajuan  Biaya Operasional Drop Point Cipongkor</t>
  </si>
  <si>
    <t>087/DISP-REGJB/BDO/VII/2026</t>
  </si>
  <si>
    <t>088/DISP-REGJB/BDO/VII/2026</t>
  </si>
  <si>
    <t>Pengajuan  Biaya Operasional Drop Point Gunung Halu</t>
  </si>
  <si>
    <t>Disposisi Pengajuan Program Promo Ongkos Kirim Flat Intercity &amp; Intracity (Eco-Fast Delivery)</t>
  </si>
  <si>
    <t>089/DISP-REGJB/BDO/VII/2026</t>
  </si>
  <si>
    <t>090/DISP-REGJB/BDO/VII/2026</t>
  </si>
  <si>
    <t>Pengajuan Destroy Barang Asset</t>
  </si>
  <si>
    <t>092/DISP-REGJB/BDO/VII/2026</t>
  </si>
  <si>
    <t>091/DISP-REGJB/BDO/VII/2026</t>
  </si>
  <si>
    <t>Pengajuan Destroy Barang (Batch 17)</t>
  </si>
  <si>
    <t>Pengajuan Penjualan Eksternal (Vendor) – Batch 35</t>
  </si>
  <si>
    <t>#025/DISP/BDO/ACU/VII/2026</t>
  </si>
  <si>
    <t>Rp. 18.800.000</t>
  </si>
  <si>
    <t>#026/DISP/BDO/ACU/VII/2026</t>
  </si>
  <si>
    <t>PENUTUPAN FULFILLMENT 621 &amp; RELOKASI KE FASILITAS EXISTING</t>
  </si>
  <si>
    <t>Rp 955.533.543,-</t>
  </si>
  <si>
    <t>093/DISP-REGJB/BDO/VII/2026</t>
  </si>
  <si>
    <t>#028/DISP/BDO/ACU/VII/2026</t>
  </si>
  <si>
    <t>PENAMBAHAN BARANG ASET</t>
  </si>
  <si>
    <t>Rp. 12.000.000</t>
  </si>
  <si>
    <t>#027/DISP/BDO/ACU/VII/2026</t>
  </si>
  <si>
    <t>PEMBELIAN PERANGKAT CCTV ( HARDISK)</t>
  </si>
  <si>
    <t>Rp. 4.000.000,-</t>
  </si>
  <si>
    <t>094/DISP-REGJB/BDO/VII/2026</t>
  </si>
  <si>
    <t>Pengajuan Dana CSR Bantuan Kecelakaan an. ARYA M SEPTIANA</t>
  </si>
  <si>
    <t>095/DISP-REGJB/BDO/VII/2026</t>
  </si>
  <si>
    <t xml:space="preserve">Skema Penyelesaian Kewajiban Hutang Sub Agen Tangeung </t>
  </si>
  <si>
    <t>096/DISP-REGJB/BDO/VII/2026</t>
  </si>
  <si>
    <t>097/DISP-REGJB/BDO/VII/2026</t>
  </si>
  <si>
    <t>Disposisi Program Cashback #HERBANTARA/COD</t>
  </si>
  <si>
    <t>098/DISP-REGJB/BDO/VII/2026</t>
  </si>
  <si>
    <t>Disposisi Program Cashback # MEDIA GAREULIS</t>
  </si>
  <si>
    <t>Disposisi Program Cashback #ATHARINDO BERKAH MADANI PT</t>
  </si>
  <si>
    <t>099/DISP-REGJB/BDO/VII/2026</t>
  </si>
  <si>
    <t>100/DISP-REGJB/BDO/VII/2026</t>
  </si>
  <si>
    <t>Disposisi Pengajuan Flat Tarif Kiriman Dokumen Samsat Kab Cianjur</t>
  </si>
  <si>
    <t>101/DISP-REGJB/BDO/VII/2026</t>
  </si>
  <si>
    <t>Special Rate Customer CV Sejahtera Bersama</t>
  </si>
  <si>
    <t>102/DISP-REGJB/BDO/VII/2026</t>
  </si>
  <si>
    <t>DISPOSISI Bandung - Pengajuan Penggunaan Internal</t>
  </si>
  <si>
    <t>Rp. 700.000</t>
  </si>
  <si>
    <t>103/DISP-REGJB/BDO/VII/2026</t>
  </si>
  <si>
    <t xml:space="preserve">Disposisi Pengajuan Flat Tarif Kiriman Dokumen Disdukcapil Bandung Barat </t>
  </si>
  <si>
    <t>#029/DISP/BDO/ACU/VII/2026</t>
  </si>
  <si>
    <t>PEREMAJAAN BARANG ASET</t>
  </si>
  <si>
    <t>Rp. 13.600.000</t>
  </si>
  <si>
    <t>104/DISP-REGJB/BDO/VII/2026</t>
  </si>
  <si>
    <t>Disposisi Program Cashback  TWLV APPAREL</t>
  </si>
  <si>
    <t>105/DISP-REGJB/BDO/VIII/2026</t>
  </si>
  <si>
    <t>Pengajuan Permohonan Fee untuk PIC PT. Sepatu Asia Senjaya</t>
  </si>
  <si>
    <t>106/DISP-REGJB/BDO/VIII/2026</t>
  </si>
  <si>
    <t>Disposisi Permohonan Approval Overbudget Biaya Meeting</t>
  </si>
  <si>
    <t>107/DISP-REGJB/BDO/VIII/2026</t>
  </si>
  <si>
    <t>Pengajuan Biaya Laka Lantas D8567FT</t>
  </si>
  <si>
    <t>Pembelian 10 Unit Coway Water Purifier untuk 4 Fasilitas di JNE Bandung (Gedebage, Soeta 452, Kawaluyaan, Naripan dan Setrasari)</t>
  </si>
  <si>
    <t>Perpanjangan Cuti Khusus Karyawan Sakit a.n M. Ramdhan</t>
  </si>
  <si>
    <t>108/DISP-REGJB/BDO/VIII/2026</t>
  </si>
  <si>
    <t>Pengajuan Biaya Operasional Drop Point Cipongkor</t>
  </si>
  <si>
    <t>NOTE</t>
  </si>
  <si>
    <t>#030/DISP/BDO/ACU/VII/2026</t>
  </si>
  <si>
    <t>PERBAIKAN MUSHOLA GARUT</t>
  </si>
  <si>
    <t>Rp 1.817.000,-</t>
  </si>
  <si>
    <t>#031/DISP/BDO/ACU/VIII/2026</t>
  </si>
  <si>
    <t>PERBAIKAN KANOPI KP SSM</t>
  </si>
  <si>
    <t>Rp 19.829.440,-</t>
  </si>
  <si>
    <t>109/DISP-REGJB/BDO/VIII/2026</t>
  </si>
  <si>
    <t>Pengajuan Cashback Customer FTL (Armada FUSO)</t>
  </si>
  <si>
    <t>revisi JTR hanya 10%</t>
  </si>
  <si>
    <t>110/DISP-REGJB/BDO/VIII/2026</t>
  </si>
  <si>
    <t>Permohonan Fee untuk Pic PT. Sepatu Asia Senjaya Project Bandung Waingapu</t>
  </si>
  <si>
    <t>cancel karena sudah terdapat Internal Memo Pemberian Remunerasi bagi pekerja menjalani penugasan yang di keluarkan HC Pusat efektif 16 Juli 2026</t>
  </si>
  <si>
    <t>masih di bahas sales BDO</t>
  </si>
  <si>
    <t>111/DISP-REGJB/BDO/VIII/2026</t>
  </si>
  <si>
    <t>Permohonan Cuti Khusus Karyawan Sakit a.n YUDA MAULANA WAHYUDIN</t>
  </si>
  <si>
    <t>112/DISP-REGJB/BDO/VIII/2026</t>
  </si>
  <si>
    <t>Permohonan Cuti Khusus Karyawan Sakit a.n Dadang Sumarna</t>
  </si>
  <si>
    <t>Menggunakan biaya taktis</t>
  </si>
  <si>
    <t>#032/DISP/BDO/ACU/VIII/2026</t>
  </si>
  <si>
    <t>PEMBELIAN AC</t>
  </si>
  <si>
    <t>Rp 25.500.000,-</t>
  </si>
  <si>
    <t>113/DISP-REGJB/BDO/VIII/2026</t>
  </si>
  <si>
    <t>Disposisi Program Cashback #QBARA ABDI NUSWANTARA PT (20026200)</t>
  </si>
  <si>
    <t xml:space="preserve">Cancel, diajukan bersama dengan update SO BDO </t>
  </si>
  <si>
    <t>Permohonan Cuti Khusus Karyawan Sakit a.n NIRFAN DIANSYAH</t>
  </si>
  <si>
    <t>114/DISP-REGJB/BDO/IX/2026</t>
  </si>
  <si>
    <t>115/DISP-REGJB/BDO/IX/2026</t>
  </si>
  <si>
    <t>Pengajuan Penambahan Posisi Koordinator Struktur Organisasi Cabang Utama Bandung 2026</t>
  </si>
  <si>
    <t>Disposisi Permohonan Persetujuan Restructuring Pembayaran Utang (Outstanding Invoice) PT Lincah Cipta Harapan</t>
  </si>
  <si>
    <t>B'Meli</t>
  </si>
  <si>
    <t>Pengajuan Destroy Barang (Batch 18)</t>
  </si>
  <si>
    <t>117/DISP-REGJB/BDO/IX/2026</t>
  </si>
  <si>
    <t>#033/DISP/BDO/ACU/VIII/2026</t>
  </si>
  <si>
    <t>PENAMBAHAN BARANG ASSET</t>
  </si>
  <si>
    <t>Rp 2.735.000,-</t>
  </si>
  <si>
    <t>#034/DISP/BDO/ACU/VIII/2026</t>
  </si>
  <si>
    <t>PERBAIKAN WALLPAPER EX RUANGAN BPDD</t>
  </si>
  <si>
    <t>Rp. 6.360.000</t>
  </si>
  <si>
    <t>118/DISP-REGJB/BDO/IX/2026</t>
  </si>
  <si>
    <t xml:space="preserve">Penyesuaian Nilai Pertanggungan Asuransi Kiriman Logam Mulia &amp; Perhiasan Murni Gold PT Hartadinata Abadi </t>
  </si>
  <si>
    <t>119/DISP-REGJB/BDO/IX/2026</t>
  </si>
  <si>
    <t>Pengajuan Anggaran Pengantaran dan Penjemputan Jamaah Umroh JNE Bandung</t>
  </si>
  <si>
    <t>Rp, 55,500,000</t>
  </si>
  <si>
    <t>120/DISP-REGJB/BDO/IX/2026</t>
  </si>
  <si>
    <t>Disposisi Pengajuan Skema Flat Tarif Dan Cashback Divisi Customer Potensial Sumedang Flass Logistik (Marwah Skin)</t>
  </si>
  <si>
    <t>PEMBUATAN PARTISI RUANG REGIONAL</t>
  </si>
  <si>
    <t>#035/DISP/BDO/ACU/IX /2026</t>
  </si>
  <si>
    <t>Rp 2.005.000,-</t>
  </si>
  <si>
    <t>B'Rini</t>
  </si>
  <si>
    <t>P' Fikri</t>
  </si>
  <si>
    <t>121/DISP-REGJB/BDO/IX/2026</t>
  </si>
  <si>
    <t>Pengajuan Destroy Barang (Batch 19)</t>
  </si>
  <si>
    <t>122/DISP-REGJB/BDO/IX/2026</t>
  </si>
  <si>
    <t>Permohonan Persetujuan Penggantian Kiriman Barang Tak Bertuan (BTB) &amp; Over SLA PT Lincah Cipta Harapan
(LNCH2607BTVMAD34)</t>
  </si>
  <si>
    <t>123/DISP-REGJB/BDO/IX/2026</t>
  </si>
  <si>
    <t>Permohonan Cuti Khusus Karyawan Sakit a.n EVI HERYANA</t>
  </si>
  <si>
    <t>124/DISP-REGJB/BDO/IX/2026</t>
  </si>
  <si>
    <t>LEGAL</t>
  </si>
  <si>
    <t>Rp. 24.000.000,-</t>
  </si>
  <si>
    <t>#037/DISP/BDO/ACU/IX/2026</t>
  </si>
  <si>
    <t>PENAMBAHAN BARANG ASSET (THIN CLIENT )</t>
  </si>
  <si>
    <t>125/DISP-REGJB/BDO/IX/2026</t>
  </si>
  <si>
    <t>Pengajuan Pinjaman untuk Pembayaran Perpanjangan Sewa Ruko Agen JNE Agrapana – Soreang</t>
  </si>
  <si>
    <t>126/DISP-REGJB/BDO/IX/2026</t>
  </si>
  <si>
    <t>127/DISP-REGJB/BDO/IX/2026</t>
  </si>
  <si>
    <t>Disposisi Program Cashback #ATHARINDO BERKAH MADANI PT (20024900)</t>
  </si>
  <si>
    <t>Pengajuan Cashback Fee untuk Bapak Agung Hari Prasetyo</t>
  </si>
  <si>
    <t>128/DISP-REGJB/BDO/IX/2026</t>
  </si>
  <si>
    <t>Pengajuan Dana CSR Bantuan Kecelakaan an. Ryan Purwandi A</t>
  </si>
  <si>
    <t>PEMBELIAN SCANNER WIRELLES</t>
  </si>
  <si>
    <t>#038/DISP/BDO/ACU/IX/2026</t>
  </si>
  <si>
    <t>Rp. 4.700.000,-</t>
  </si>
  <si>
    <t>129/DISP-REGJB/BDO/IX/2026</t>
  </si>
  <si>
    <t>130/DISP-REGJB/BDO/IX/2026</t>
  </si>
  <si>
    <t>Pengajuan Biaya Operasional Lahan Parkir Gadobangkong</t>
  </si>
  <si>
    <t>#039/DISP/BDO/ACU/IX/2026</t>
  </si>
  <si>
    <t>PENAMBAHAN BUDGET UNTUK PEMBELIAN SARUNG JOK MOBIL XPANDER</t>
  </si>
  <si>
    <t>Rp. 3.015.000</t>
  </si>
  <si>
    <t xml:space="preserve">#040/DISP/BDO/ACU/IX/2026 </t>
  </si>
  <si>
    <t>PENGAJUAN PENAMBAHAN BUDGET UNTUK PEMBELIAN IPAD 11</t>
  </si>
  <si>
    <t>Rp. 4.110.000</t>
  </si>
  <si>
    <t>#042/DISP/BDO/ACU/IX/2026</t>
  </si>
  <si>
    <t>PENGAJUAN PENAMBAHAN BARANG ASSET</t>
  </si>
  <si>
    <t>Rp. 985.000,-</t>
  </si>
  <si>
    <t>#043/DISP/BDO/ACU/IX/2026</t>
  </si>
  <si>
    <t>116/DISP-REGJB/ BDO/IX/2026</t>
  </si>
  <si>
    <t>131/DISP-REGJB/BDO/IX/2026</t>
  </si>
  <si>
    <t xml:space="preserve">Pengajuan cashback Fee untuk Printova Sublim Digital PT.  </t>
  </si>
  <si>
    <t>132/DISP-REGJB/BDO/IX/2026</t>
  </si>
  <si>
    <t>Pengajuan  Biaya Operasional Lahan Genset SSM</t>
  </si>
  <si>
    <t>133/DISP-REGJB/BDO/IX/2026</t>
  </si>
  <si>
    <t>Pengajuan Biaya Operasional Drop Point Babakan Ciparay</t>
  </si>
  <si>
    <t>134/DISP-REGJB/BDO/IX/2026</t>
  </si>
  <si>
    <t>135/DISP-REGJB/BDO/IX/2026</t>
  </si>
  <si>
    <t>Pengajuan Biaya Operasional Drop Point Antapani</t>
  </si>
  <si>
    <t>Pengajuan  Biaya Operasional Drop Point Tubagus Ismail</t>
  </si>
  <si>
    <t>136/DISP-REGJB/BDO/IX/2026</t>
  </si>
  <si>
    <t>Pengajuan Biaya Operasional Untuk  Drop Point  Margaasih</t>
  </si>
  <si>
    <t>137/DISP-REGJB/BDO/IX/2026</t>
  </si>
  <si>
    <t>138/DISP-REGJB/BDO/IX/2026</t>
  </si>
  <si>
    <t>Pengajuan Biaya Operasional Untuk Drop Point Cipatat</t>
  </si>
  <si>
    <t>#041/DISP/BDO/ACU/IX/2026</t>
  </si>
  <si>
    <t>PEMBELIAN MESIN JAHIT KARUNG</t>
  </si>
  <si>
    <t>#044/DISP/BDO/ACU/IX/2026</t>
  </si>
  <si>
    <t>Rp. 5.000.000,-</t>
  </si>
  <si>
    <t>Rp. 18.000.000,-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</si>
</sst>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18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rial"/>
      <family val="2"/>
    </font>
    <font>
      <sz val="9"/>
      <name val="Aptos Narrow"/>
      <family val="2"/>
      <scheme val="minor"/>
    </font>
    <font>
      <sz val="9"/>
      <name val="Candara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/>
    <xf numFmtId="0" fontId="10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9" fillId="2" borderId="1" xfId="0" applyFont="1" applyFill="1" applyBorder="1" applyAlignment="1">
      <alignment horizontal="left" vertical="center"/>
    </xf>
    <xf numFmtId="0" fontId="0" fillId="0" borderId="1" xfId="0" applyBorder="1"/>
    <xf numFmtId="0" fontId="5" fillId="4" borderId="1" xfId="0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/>
    <xf numFmtId="164" fontId="4" fillId="0" borderId="1" xfId="0" applyNumberFormat="1" applyFont="1" applyBorder="1" applyAlignment="1">
      <alignment horizontal="left"/>
    </xf>
    <xf numFmtId="16" fontId="4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15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4" borderId="1" xfId="0" applyFont="1" applyFill="1" applyBorder="1"/>
    <xf numFmtId="164" fontId="4" fillId="4" borderId="1" xfId="0" applyNumberFormat="1" applyFont="1" applyFill="1" applyBorder="1" applyAlignment="1">
      <alignment horizontal="left"/>
    </xf>
    <xf numFmtId="16" fontId="4" fillId="4" borderId="1" xfId="0" applyNumberFormat="1" applyFont="1" applyFill="1" applyBorder="1"/>
    <xf numFmtId="0" fontId="4" fillId="4" borderId="1" xfId="0" applyFont="1" applyFill="1" applyBorder="1"/>
    <xf numFmtId="0" fontId="4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/>
    <xf numFmtId="14" fontId="8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12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/>
    <xf numFmtId="15" fontId="4" fillId="0" borderId="1" xfId="0" applyNumberFormat="1" applyFont="1" applyBorder="1"/>
    <xf numFmtId="0" fontId="8" fillId="0" borderId="1" xfId="0" applyFont="1" applyBorder="1"/>
    <xf numFmtId="0" fontId="4" fillId="4" borderId="1" xfId="0" applyFont="1" applyFill="1" applyBorder="1" applyAlignment="1">
      <alignment horizontal="left" vertical="center"/>
    </xf>
    <xf numFmtId="15" fontId="4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" fontId="4" fillId="4" borderId="1" xfId="0" applyNumberFormat="1" applyFont="1" applyFill="1" applyBorder="1" applyAlignment="1">
      <alignment horizontal="left" vertical="center"/>
    </xf>
    <xf numFmtId="0" fontId="6" fillId="4" borderId="2" xfId="0" applyFont="1" applyFill="1" applyBorder="1"/>
    <xf numFmtId="0" fontId="6" fillId="4" borderId="3" xfId="0" applyFont="1" applyFill="1" applyBorder="1"/>
    <xf numFmtId="14" fontId="4" fillId="4" borderId="1" xfId="0" applyNumberFormat="1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9" fillId="2" borderId="1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center"/>
    </xf>
    <xf numFmtId="15" fontId="4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" fontId="4" fillId="5" borderId="1" xfId="0" applyNumberFormat="1" applyFont="1" applyFill="1" applyBorder="1" applyAlignment="1">
      <alignment horizontal="left" vertical="center"/>
    </xf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15" fontId="4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6" fillId="5" borderId="1" xfId="0" applyFont="1" applyFill="1" applyBorder="1"/>
    <xf numFmtId="164" fontId="4" fillId="5" borderId="1" xfId="0" applyNumberFormat="1" applyFont="1" applyFill="1" applyBorder="1" applyAlignment="1">
      <alignment horizontal="left"/>
    </xf>
    <xf numFmtId="16" fontId="4" fillId="5" borderId="1" xfId="0" applyNumberFormat="1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15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wrapText="1"/>
    </xf>
    <xf numFmtId="164" fontId="4" fillId="0" borderId="1" xfId="0" applyNumberFormat="1" applyFont="1" applyFill="1" applyBorder="1" applyAlignment="1">
      <alignment horizontal="left"/>
    </xf>
    <xf numFmtId="16" fontId="4" fillId="0" borderId="1" xfId="0" applyNumberFormat="1" applyFont="1" applyFill="1" applyBorder="1" applyAlignment="1">
      <alignment horizontal="left" vertical="center"/>
    </xf>
    <xf numFmtId="16" fontId="4" fillId="0" borderId="1" xfId="0" applyNumberFormat="1" applyFont="1" applyFill="1" applyBorder="1"/>
    <xf numFmtId="0" fontId="4" fillId="0" borderId="1" xfId="0" applyFont="1" applyFill="1" applyBorder="1"/>
    <xf numFmtId="0" fontId="3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anty D. S" refreshedDate="46190.72088090278" createdVersion="8" refreshedVersion="8" minRefreshableVersion="3" recordCount="97" xr:uid="{B731619A-27DB-45A4-BFF2-6634A232B333}">
  <cacheSource type="worksheet">
    <worksheetSource ref="A4:AC163" sheet="DISPO SLA"/>
  </cacheSource>
  <cacheFields count="29">
    <cacheField name="ASSET / NON ASSET" numFmtId="0">
      <sharedItems count="2">
        <s v="NON ASSET"/>
        <s v="ASSET"/>
      </sharedItems>
    </cacheField>
    <cacheField name="Dept" numFmtId="0">
      <sharedItems count="9">
        <s v="RET"/>
        <s v="CORP ORG"/>
        <s v="HC"/>
        <s v="GA"/>
        <s v="FIN"/>
        <s v="SALES"/>
        <s v="SOSCOM"/>
        <s v="GRT"/>
        <s v="ACC"/>
      </sharedItems>
    </cacheField>
    <cacheField name="Pengajuan User" numFmtId="15">
      <sharedItems containsSemiMixedTypes="0" containsNonDate="0" containsDate="1" containsString="0" minDate="2026-01-06T00:00:00" maxDate="2026-06-18T00:00:00"/>
    </cacheField>
    <cacheField name="Pengajuan Disposisi" numFmtId="15">
      <sharedItems containsSemiMixedTypes="0" containsNonDate="0" containsDate="1" containsString="0" minDate="2026-01-07T00:00:00" maxDate="2026-06-18T00:00:00"/>
    </cacheField>
    <cacheField name="Approval BM" numFmtId="15">
      <sharedItems containsNonDate="0" containsDate="1" containsString="0" containsBlank="1" minDate="2026-01-07T00:00:00" maxDate="2026-06-16T00:00:00"/>
    </cacheField>
    <cacheField name="Approval Head Regional" numFmtId="15">
      <sharedItems containsNonDate="0" containsDate="1" containsString="0" containsBlank="1" minDate="2026-01-09T00:00:00" maxDate="2026-06-18T00:00:00"/>
    </cacheField>
    <cacheField name="Approval VP" numFmtId="15">
      <sharedItems containsNonDate="0" containsDate="1" containsString="0" containsBlank="1" minDate="2026-01-19T00:00:00" maxDate="2026-06-09T00:00:00"/>
    </cacheField>
    <cacheField name="Approval Direksi" numFmtId="15">
      <sharedItems containsNonDate="0" containsDate="1" containsString="0" containsBlank="1" minDate="2026-03-17T00:00:00" maxDate="2026-05-13T00:00:00"/>
    </cacheField>
    <cacheField name="Disposisi" numFmtId="15">
      <sharedItems containsNonDate="0" containsDate="1" containsString="0" containsBlank="1" minDate="2026-01-08T00:00:00" maxDate="2026-06-18T00:00:00"/>
    </cacheField>
    <cacheField name="Disposisi2" numFmtId="15">
      <sharedItems containsNonDate="0" containsDate="1" containsString="0" containsBlank="1" minDate="2026-01-08T00:00:00" maxDate="2026-06-18T00:00:00"/>
    </cacheField>
    <cacheField name="Status" numFmtId="0">
      <sharedItems containsBlank="1"/>
    </cacheField>
    <cacheField name="REFF" numFmtId="0">
      <sharedItems/>
    </cacheField>
    <cacheField name="DISPOSISI3" numFmtId="0">
      <sharedItems/>
    </cacheField>
    <cacheField name="Qty" numFmtId="0">
      <sharedItems containsNonDate="0" containsString="0" containsBlank="1"/>
    </cacheField>
    <cacheField name="IDR" numFmtId="0">
      <sharedItems containsBlank="1"/>
    </cacheField>
    <cacheField name="Keterangan" numFmtId="0">
      <sharedItems containsNonDate="0" containsString="0" containsBlank="1"/>
    </cacheField>
    <cacheField name="1" numFmtId="0">
      <sharedItems containsBlank="1"/>
    </cacheField>
    <cacheField name="2" numFmtId="0">
      <sharedItems containsBlank="1"/>
    </cacheField>
    <cacheField name="3" numFmtId="0">
      <sharedItems containsBlank="1"/>
    </cacheField>
    <cacheField name="4" numFmtId="0">
      <sharedItems containsBlank="1"/>
    </cacheField>
    <cacheField name="5" numFmtId="0">
      <sharedItems containsBlank="1"/>
    </cacheField>
    <cacheField name="6" numFmtId="0">
      <sharedItems containsBlank="1"/>
    </cacheField>
    <cacheField name="7" numFmtId="0">
      <sharedItems containsBlank="1"/>
    </cacheField>
    <cacheField name="8" numFmtId="0">
      <sharedItems containsNonDate="0" containsString="0" containsBlank="1"/>
    </cacheField>
    <cacheField name="9" numFmtId="0">
      <sharedItems containsNonDate="0" containsString="0" containsBlank="1"/>
    </cacheField>
    <cacheField name="Approval BM2" numFmtId="0">
      <sharedItems containsSemiMixedTypes="0" containsString="0" containsNumber="1" containsInteger="1" minValue="-46190" maxValue="8"/>
    </cacheField>
    <cacheField name="Approval Non BM" numFmtId="0">
      <sharedItems containsSemiMixedTypes="0" containsString="0" containsNumber="1" containsInteger="1" minValue="-46190" maxValue="63"/>
    </cacheField>
    <cacheField name="SLA BM" numFmtId="0">
      <sharedItems count="2">
        <s v="achive"/>
        <s v="tidak achive"/>
      </sharedItems>
    </cacheField>
    <cacheField name="SLA NON BM" numFmtId="0">
      <sharedItems count="2">
        <s v="tidak achive"/>
        <s v="ach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d v="2026-01-06T00:00:00"/>
    <d v="2026-01-07T00:00:00"/>
    <d v="2026-01-07T00:00:00"/>
    <d v="2026-01-20T00:00:00"/>
    <m/>
    <m/>
    <d v="2026-01-20T00:00:00"/>
    <d v="2026-01-20T00:00:00"/>
    <s v="DONE"/>
    <s v="001/DISP-REGJB/BDO/I/2026"/>
    <s v="Disposisi Pengajuan Flat Tarif Kiriman Dokumen Samsat Kawaluyaan Bandung"/>
    <m/>
    <m/>
    <m/>
    <s v="P'Hend"/>
    <s v="P'Bas"/>
    <m/>
    <m/>
    <m/>
    <m/>
    <m/>
    <m/>
    <m/>
    <n v="0"/>
    <n v="13"/>
    <x v="0"/>
    <x v="0"/>
  </r>
  <r>
    <x v="0"/>
    <x v="0"/>
    <d v="2026-01-06T00:00:00"/>
    <d v="2026-01-07T00:00:00"/>
    <d v="2026-01-07T00:00:00"/>
    <d v="2026-01-09T00:00:00"/>
    <m/>
    <m/>
    <d v="2026-01-12T00:00:00"/>
    <d v="2026-01-12T00:00:00"/>
    <s v="DONE"/>
    <s v="002/DISP-REGJB/BDO/I/2026"/>
    <s v="Disposisi Permohonan Biaya Support Acara Penandatanganan Kerjasama dengan DITAJENAD TNI AD"/>
    <m/>
    <m/>
    <m/>
    <s v="P'Hend"/>
    <s v="P'Bas"/>
    <s v="P'Malv"/>
    <m/>
    <m/>
    <m/>
    <m/>
    <m/>
    <m/>
    <n v="0"/>
    <n v="2"/>
    <x v="0"/>
    <x v="1"/>
  </r>
  <r>
    <x v="0"/>
    <x v="0"/>
    <d v="2026-01-07T00:00:00"/>
    <d v="2026-01-07T00:00:00"/>
    <d v="2026-01-08T00:00:00"/>
    <m/>
    <m/>
    <m/>
    <d v="2026-01-08T00:00:00"/>
    <d v="2026-01-08T00:00:00"/>
    <s v="DONE"/>
    <s v="003/DISP-REGJB/BDO/I/2026"/>
    <s v="Disposisi Program Cashback BENING INDONESIA BANDUNG"/>
    <m/>
    <m/>
    <m/>
    <m/>
    <m/>
    <m/>
    <m/>
    <m/>
    <m/>
    <m/>
    <m/>
    <m/>
    <n v="1"/>
    <n v="1"/>
    <x v="0"/>
    <x v="1"/>
  </r>
  <r>
    <x v="0"/>
    <x v="1"/>
    <d v="2026-01-07T00:00:00"/>
    <d v="2026-01-07T00:00:00"/>
    <d v="2026-01-08T00:00:00"/>
    <d v="2026-01-21T00:00:00"/>
    <m/>
    <m/>
    <d v="2026-01-21T00:00:00"/>
    <d v="2026-01-21T00:00:00"/>
    <s v="DONE"/>
    <s v="004/DISP-REGJB/BDO/I/2026"/>
    <s v="Pengajuan Fee untuk Team Exim PT Three Six World"/>
    <m/>
    <m/>
    <m/>
    <s v="P'Hend"/>
    <s v="P'Bas"/>
    <m/>
    <m/>
    <m/>
    <m/>
    <m/>
    <m/>
    <m/>
    <n v="1"/>
    <n v="14"/>
    <x v="0"/>
    <x v="0"/>
  </r>
  <r>
    <x v="0"/>
    <x v="2"/>
    <d v="2026-01-09T00:00:00"/>
    <d v="2026-01-09T00:00:00"/>
    <d v="2026-01-09T00:00:00"/>
    <d v="2026-01-12T00:00:00"/>
    <d v="2026-01-19T00:00:00"/>
    <m/>
    <d v="2026-01-19T00:00:00"/>
    <d v="2026-01-19T00:00:00"/>
    <s v="DONE"/>
    <s v="005/DISP-REGJB/BDO/I/2026"/>
    <s v="Permohonan Cuti Khusus Karyawan Sakit a.n M. Ramdhan"/>
    <m/>
    <m/>
    <m/>
    <s v="P'Bas"/>
    <s v="P'Jojo"/>
    <m/>
    <m/>
    <m/>
    <m/>
    <m/>
    <m/>
    <m/>
    <n v="0"/>
    <n v="10"/>
    <x v="0"/>
    <x v="1"/>
  </r>
  <r>
    <x v="0"/>
    <x v="3"/>
    <d v="2026-01-08T00:00:00"/>
    <d v="2026-01-09T00:00:00"/>
    <d v="2026-01-09T00:00:00"/>
    <d v="2026-01-12T00:00:00"/>
    <m/>
    <m/>
    <d v="2026-01-19T00:00:00"/>
    <d v="2026-01-19T00:00:00"/>
    <s v="DONE"/>
    <s v="006/DISP-REGJB/BDO/I/2026"/>
    <s v="Pengajuan  Biaya Operasional Drop Point Rancamanyar"/>
    <m/>
    <m/>
    <m/>
    <s v="P'Bas"/>
    <s v="P'Indr"/>
    <m/>
    <m/>
    <m/>
    <m/>
    <m/>
    <m/>
    <m/>
    <n v="0"/>
    <n v="3"/>
    <x v="0"/>
    <x v="1"/>
  </r>
  <r>
    <x v="0"/>
    <x v="3"/>
    <d v="2026-01-08T00:00:00"/>
    <d v="2026-01-09T00:00:00"/>
    <d v="2026-01-09T00:00:00"/>
    <d v="2026-01-12T00:00:00"/>
    <m/>
    <m/>
    <d v="2026-01-12T00:00:00"/>
    <d v="2026-01-12T00:00:00"/>
    <s v="DONE"/>
    <s v="007/DISP-REGJB/BDO/I/2026"/>
    <s v="Pengajuan Biaya Operasional Untuk Smart Point  Suryakanti - Bandung"/>
    <m/>
    <m/>
    <m/>
    <s v="P'Bas"/>
    <s v="P'Malv"/>
    <m/>
    <m/>
    <m/>
    <m/>
    <m/>
    <m/>
    <m/>
    <n v="0"/>
    <n v="3"/>
    <x v="0"/>
    <x v="1"/>
  </r>
  <r>
    <x v="0"/>
    <x v="4"/>
    <d v="2026-01-09T00:00:00"/>
    <d v="2026-01-09T00:00:00"/>
    <d v="2026-01-09T00:00:00"/>
    <m/>
    <m/>
    <m/>
    <d v="2026-01-09T00:00:00"/>
    <d v="2026-01-09T00:00:00"/>
    <s v="DONE"/>
    <s v="008/DISP-REGJB/BDO/I/2026"/>
    <s v="Pengajuan Write Off Piutang Corporate Cabang Bandung 2025"/>
    <m/>
    <m/>
    <m/>
    <m/>
    <m/>
    <m/>
    <m/>
    <m/>
    <m/>
    <m/>
    <m/>
    <m/>
    <n v="0"/>
    <n v="0"/>
    <x v="0"/>
    <x v="1"/>
  </r>
  <r>
    <x v="0"/>
    <x v="1"/>
    <d v="2026-01-22T00:00:00"/>
    <d v="2026-01-22T00:00:00"/>
    <d v="2026-01-22T00:00:00"/>
    <d v="2026-01-22T00:00:00"/>
    <m/>
    <m/>
    <d v="2026-01-22T00:00:00"/>
    <d v="2026-01-22T00:00:00"/>
    <s v="DONE"/>
    <s v="009/DISP-REGJB/BDO/I/2026"/>
    <s v="Pengajuan Cashback Fee untuk Ibu Nadian Mardiana"/>
    <m/>
    <m/>
    <m/>
    <s v="P'Hend"/>
    <s v="P'Bas"/>
    <m/>
    <m/>
    <m/>
    <m/>
    <m/>
    <m/>
    <m/>
    <n v="0"/>
    <n v="0"/>
    <x v="0"/>
    <x v="1"/>
  </r>
  <r>
    <x v="0"/>
    <x v="0"/>
    <d v="2026-01-30T00:00:00"/>
    <d v="2026-01-30T00:00:00"/>
    <d v="2026-01-30T00:00:00"/>
    <d v="2026-02-03T00:00:00"/>
    <m/>
    <m/>
    <d v="2026-02-03T00:00:00"/>
    <d v="2026-02-03T00:00:00"/>
    <s v="DONE"/>
    <s v="010/DISP-REGJB/BDO/I/2026"/>
    <s v="Pengajuan biaya operasional Kurir Kiriman sampel SHK Dinas Kesehatan Kota Bandung"/>
    <m/>
    <m/>
    <m/>
    <s v="P'Hend"/>
    <s v="P'Bas"/>
    <m/>
    <m/>
    <m/>
    <m/>
    <m/>
    <m/>
    <m/>
    <n v="0"/>
    <n v="4"/>
    <x v="0"/>
    <x v="1"/>
  </r>
  <r>
    <x v="0"/>
    <x v="0"/>
    <d v="2026-02-02T00:00:00"/>
    <d v="2026-02-02T00:00:00"/>
    <d v="2026-02-02T00:00:00"/>
    <d v="2026-02-03T00:00:00"/>
    <m/>
    <m/>
    <d v="2026-02-03T00:00:00"/>
    <d v="2026-02-03T00:00:00"/>
    <s v="DONE"/>
    <s v="011/DISP-REGJB/BDO/I/2026"/>
    <s v="Disposisi Pengajuan Flat Tarif Project Pengiriman Surat Somasi FIF/ND Law Partnership"/>
    <m/>
    <m/>
    <m/>
    <s v="P'Hend"/>
    <s v="P'Bas"/>
    <m/>
    <m/>
    <m/>
    <m/>
    <m/>
    <m/>
    <m/>
    <n v="0"/>
    <n v="1"/>
    <x v="0"/>
    <x v="1"/>
  </r>
  <r>
    <x v="0"/>
    <x v="0"/>
    <d v="2026-02-05T00:00:00"/>
    <d v="2026-02-05T00:00:00"/>
    <d v="2026-02-05T00:00:00"/>
    <d v="2026-02-06T00:00:00"/>
    <d v="2026-04-02T00:00:00"/>
    <d v="2026-04-09T00:00:00"/>
    <d v="2026-04-09T00:00:00"/>
    <d v="2026-04-09T00:00:00"/>
    <s v="DONE"/>
    <s v="012/DISP-REGJB/BDO/I/2026"/>
    <s v="Pengajuan biaya operasional untuk kerjasama pengiriman JNE dan Dinas Kesehatan Kota Bandung"/>
    <m/>
    <m/>
    <m/>
    <s v="P'Hend"/>
    <s v="P'Bas"/>
    <s v="P'Awi"/>
    <s v="P'Jojo"/>
    <s v="P'Jose"/>
    <s v="P'Edi"/>
    <s v="P'Chan"/>
    <m/>
    <m/>
    <n v="0"/>
    <n v="63"/>
    <x v="0"/>
    <x v="0"/>
  </r>
  <r>
    <x v="0"/>
    <x v="3"/>
    <d v="2026-02-10T00:00:00"/>
    <d v="2026-02-11T00:00:00"/>
    <d v="2026-02-12T00:00:00"/>
    <d v="2026-02-12T00:00:00"/>
    <m/>
    <m/>
    <d v="2026-02-19T00:00:00"/>
    <d v="2026-02-19T00:00:00"/>
    <s v="DONE"/>
    <s v="013/DISP-REGJB/BDO/II/2026"/>
    <s v="Pengajuan  Biaya Operasional Lahan Parkir Cimareme"/>
    <m/>
    <m/>
    <m/>
    <s v="P'Bas"/>
    <s v="P'Malv"/>
    <m/>
    <m/>
    <m/>
    <m/>
    <m/>
    <m/>
    <m/>
    <n v="1"/>
    <n v="1"/>
    <x v="0"/>
    <x v="1"/>
  </r>
  <r>
    <x v="0"/>
    <x v="3"/>
    <d v="2026-02-10T00:00:00"/>
    <d v="2026-02-11T00:00:00"/>
    <d v="2026-02-19T00:00:00"/>
    <d v="2026-02-19T00:00:00"/>
    <m/>
    <m/>
    <d v="2026-02-19T00:00:00"/>
    <d v="2026-02-19T00:00:00"/>
    <s v="DONE"/>
    <s v="014/DISP-REGJB/BDO/II/2026"/>
    <s v="Pengajuan  Biaya Operasional Lahan Parkir di PIA Hotel"/>
    <m/>
    <m/>
    <m/>
    <s v="P'Bas"/>
    <s v="P'Malv"/>
    <m/>
    <m/>
    <m/>
    <m/>
    <m/>
    <m/>
    <m/>
    <n v="8"/>
    <n v="8"/>
    <x v="1"/>
    <x v="1"/>
  </r>
  <r>
    <x v="0"/>
    <x v="3"/>
    <d v="2026-02-10T00:00:00"/>
    <d v="2026-02-11T00:00:00"/>
    <d v="2026-02-12T00:00:00"/>
    <d v="2026-02-12T00:00:00"/>
    <m/>
    <m/>
    <d v="2026-02-13T00:00:00"/>
    <d v="2026-02-13T00:00:00"/>
    <s v="DONE"/>
    <s v="015/DISP-REGJB/BDO/II/2026"/>
    <s v="Pengajuan  Biaya Operasional Lahan Parkir Gadobangkong"/>
    <m/>
    <m/>
    <m/>
    <s v="P'Bas"/>
    <s v="P'Malv"/>
    <m/>
    <m/>
    <m/>
    <m/>
    <m/>
    <m/>
    <m/>
    <n v="1"/>
    <n v="1"/>
    <x v="0"/>
    <x v="1"/>
  </r>
  <r>
    <x v="0"/>
    <x v="3"/>
    <d v="2026-02-11T00:00:00"/>
    <d v="2026-02-11T00:00:00"/>
    <d v="2026-02-12T00:00:00"/>
    <d v="2026-02-12T00:00:00"/>
    <m/>
    <m/>
    <d v="2026-02-13T00:00:00"/>
    <d v="2026-02-13T00:00:00"/>
    <s v="DONE"/>
    <s v="016/DISP-REGJB/BDO/II/2026"/>
    <s v="Pengajuan Persetujuan Biaya Sewa dan Operasional Drop Point Margahayu"/>
    <m/>
    <m/>
    <m/>
    <s v="P'Bas"/>
    <s v="P'Malv"/>
    <m/>
    <m/>
    <m/>
    <m/>
    <m/>
    <m/>
    <m/>
    <n v="1"/>
    <n v="1"/>
    <x v="0"/>
    <x v="1"/>
  </r>
  <r>
    <x v="0"/>
    <x v="2"/>
    <d v="2026-02-11T00:00:00"/>
    <d v="2026-02-11T00:00:00"/>
    <d v="2026-02-11T00:00:00"/>
    <d v="2026-02-12T00:00:00"/>
    <m/>
    <m/>
    <d v="2026-02-13T00:00:00"/>
    <d v="2026-02-13T00:00:00"/>
    <s v="DONE"/>
    <s v="017/DISP-REGJB/BDO/II/2026"/>
    <s v="Pengajuan Support CSR JNE Konser Amal &amp; Doa Bersama Bandung Raya Lincah &amp; Pemerintah Kabupaten Bandung"/>
    <m/>
    <m/>
    <m/>
    <s v="P'Bas"/>
    <s v="P'Indr"/>
    <m/>
    <m/>
    <m/>
    <m/>
    <m/>
    <m/>
    <m/>
    <n v="0"/>
    <n v="1"/>
    <x v="0"/>
    <x v="1"/>
  </r>
  <r>
    <x v="0"/>
    <x v="3"/>
    <d v="2026-02-19T00:00:00"/>
    <d v="2026-02-20T00:00:00"/>
    <d v="2026-02-20T00:00:00"/>
    <d v="2026-02-23T00:00:00"/>
    <m/>
    <m/>
    <d v="2026-02-23T00:00:00"/>
    <d v="2026-02-24T00:00:00"/>
    <s v="DONE"/>
    <s v="018/DISP-REGJB/BDO/II/2026"/>
    <s v="Pengajuan Biaya Sewa dan Operasional Drop Point Dayeuhkolot"/>
    <m/>
    <m/>
    <m/>
    <s v="P'Bas"/>
    <s v="P'Malv"/>
    <m/>
    <m/>
    <m/>
    <m/>
    <m/>
    <m/>
    <m/>
    <n v="0"/>
    <n v="3"/>
    <x v="0"/>
    <x v="1"/>
  </r>
  <r>
    <x v="0"/>
    <x v="3"/>
    <d v="2026-02-19T00:00:00"/>
    <d v="2026-02-20T00:00:00"/>
    <d v="2026-02-20T00:00:00"/>
    <d v="2026-02-23T00:00:00"/>
    <m/>
    <m/>
    <d v="2026-02-23T00:00:00"/>
    <d v="2026-02-24T00:00:00"/>
    <s v="DONE"/>
    <s v="019/DISP-REGJB/BDO/II/2026"/>
    <s v="Pengajuan Destroy Barang (Batch 12)"/>
    <m/>
    <m/>
    <m/>
    <s v="P'Bas"/>
    <s v="P'Malv"/>
    <m/>
    <m/>
    <m/>
    <m/>
    <m/>
    <m/>
    <m/>
    <n v="0"/>
    <n v="3"/>
    <x v="0"/>
    <x v="1"/>
  </r>
  <r>
    <x v="0"/>
    <x v="3"/>
    <d v="2026-02-19T00:00:00"/>
    <d v="2026-02-20T00:00:00"/>
    <d v="2026-02-20T00:00:00"/>
    <d v="2026-02-23T00:00:00"/>
    <m/>
    <m/>
    <d v="2026-02-23T00:00:00"/>
    <d v="2026-02-24T00:00:00"/>
    <s v="DONE"/>
    <s v="020/DISP-REGJB/BDO/II/2026"/>
    <s v="Pengajuan Penjualan Eksternal (Vendor) – Batch 30"/>
    <m/>
    <m/>
    <m/>
    <s v="P'Bas"/>
    <s v="P'Malv"/>
    <m/>
    <m/>
    <m/>
    <m/>
    <m/>
    <m/>
    <m/>
    <n v="0"/>
    <n v="3"/>
    <x v="0"/>
    <x v="1"/>
  </r>
  <r>
    <x v="0"/>
    <x v="2"/>
    <d v="2026-02-20T00:00:00"/>
    <d v="2026-02-20T00:00:00"/>
    <d v="2026-02-20T00:00:00"/>
    <d v="2026-02-24T00:00:00"/>
    <d v="2026-02-25T00:00:00"/>
    <m/>
    <d v="2026-02-25T00:00:00"/>
    <d v="2026-02-25T00:00:00"/>
    <s v="DONE"/>
    <s v="021/DISP-REGJB/BDO/II/2026"/>
    <s v="Permohonan Cuti Khusus Karyawan Sakit a.n Trio Sujadi"/>
    <m/>
    <m/>
    <m/>
    <s v="P'Bas"/>
    <s v="P'Jojo"/>
    <m/>
    <m/>
    <m/>
    <m/>
    <m/>
    <m/>
    <m/>
    <n v="0"/>
    <n v="5"/>
    <x v="0"/>
    <x v="1"/>
  </r>
  <r>
    <x v="0"/>
    <x v="4"/>
    <d v="2026-02-23T00:00:00"/>
    <d v="2026-02-23T00:00:00"/>
    <d v="2026-02-23T00:00:00"/>
    <d v="2026-02-24T00:00:00"/>
    <m/>
    <m/>
    <d v="2026-02-26T00:00:00"/>
    <d v="2026-02-26T00:00:00"/>
    <s v="DONE"/>
    <s v="022/DISP-REGJB/BDO/II/2026"/>
    <s v="Pengajuan Distribusi Bingkisan Lingkungan Kantor dan Relasi JNE Bandung 2026"/>
    <m/>
    <m/>
    <m/>
    <s v="P'Bas"/>
    <s v="P'Malv"/>
    <m/>
    <m/>
    <m/>
    <m/>
    <m/>
    <m/>
    <m/>
    <n v="0"/>
    <n v="1"/>
    <x v="0"/>
    <x v="1"/>
  </r>
  <r>
    <x v="0"/>
    <x v="2"/>
    <d v="2026-02-23T00:00:00"/>
    <d v="2026-02-23T00:00:00"/>
    <d v="2026-02-23T00:00:00"/>
    <d v="2026-02-24T00:00:00"/>
    <m/>
    <m/>
    <d v="2026-02-25T00:00:00"/>
    <d v="2026-02-26T00:00:00"/>
    <s v="DONE"/>
    <s v="023/DISP-REGJB/BDO/II/2026"/>
    <s v="Pengajuan Anggaran Kegiatan Ramadhan Shopping &amp; Buka Bersama Yatim"/>
    <m/>
    <m/>
    <m/>
    <s v="P'Bas"/>
    <s v="P'Robi"/>
    <s v="P'Indr"/>
    <m/>
    <m/>
    <m/>
    <m/>
    <m/>
    <m/>
    <n v="0"/>
    <n v="1"/>
    <x v="0"/>
    <x v="1"/>
  </r>
  <r>
    <x v="0"/>
    <x v="2"/>
    <d v="2026-02-25T00:00:00"/>
    <d v="2026-02-25T00:00:00"/>
    <d v="2026-02-24T00:00:00"/>
    <d v="2026-02-25T00:00:00"/>
    <m/>
    <m/>
    <d v="2026-03-02T00:00:00"/>
    <d v="2026-03-02T00:00:00"/>
    <s v="DONE"/>
    <s v="024/DISP-REGJB/BDO/II/2026"/>
    <s v="Pengajuan Dana CSR Bantuan Kecelakaan a.n Galih Rama"/>
    <m/>
    <m/>
    <m/>
    <s v="P'Bas"/>
    <s v="P'Indr"/>
    <m/>
    <m/>
    <m/>
    <m/>
    <m/>
    <m/>
    <m/>
    <n v="-1"/>
    <n v="0"/>
    <x v="0"/>
    <x v="1"/>
  </r>
  <r>
    <x v="0"/>
    <x v="3"/>
    <d v="2026-02-25T00:00:00"/>
    <d v="2026-02-25T00:00:00"/>
    <d v="2026-02-25T00:00:00"/>
    <d v="2026-02-26T00:00:00"/>
    <m/>
    <m/>
    <d v="2026-02-26T00:00:00"/>
    <d v="2026-02-26T00:00:00"/>
    <s v="DONE"/>
    <s v="025/DISP-REGJB/BDO/II/2026"/>
    <s v="Pengajuan Penjualan Internal (Karyawan) – Batch 3"/>
    <m/>
    <m/>
    <m/>
    <s v="P'Bas"/>
    <s v="P'Malv"/>
    <m/>
    <m/>
    <m/>
    <m/>
    <m/>
    <m/>
    <m/>
    <n v="0"/>
    <n v="1"/>
    <x v="0"/>
    <x v="1"/>
  </r>
  <r>
    <x v="0"/>
    <x v="2"/>
    <d v="2026-02-25T00:00:00"/>
    <d v="2026-02-26T00:00:00"/>
    <d v="2026-02-26T00:00:00"/>
    <d v="2026-02-26T00:00:00"/>
    <d v="2026-03-16T00:00:00"/>
    <m/>
    <d v="2026-03-16T00:00:00"/>
    <d v="2026-03-16T00:00:00"/>
    <s v="DONE"/>
    <s v="026/DISP-REGJB/BDO/II/2026"/>
    <s v="Pengajuan Kegiatan Skrining Kesehatan / Tes Narkoba"/>
    <m/>
    <s v="Rp. 66.785.000"/>
    <m/>
    <s v="P'Bas"/>
    <s v="P'Jojo"/>
    <s v="P'Jose"/>
    <m/>
    <m/>
    <m/>
    <m/>
    <m/>
    <m/>
    <n v="0"/>
    <n v="18"/>
    <x v="0"/>
    <x v="0"/>
  </r>
  <r>
    <x v="0"/>
    <x v="5"/>
    <d v="2026-02-26T00:00:00"/>
    <d v="2026-02-26T00:00:00"/>
    <d v="2026-02-26T00:00:00"/>
    <d v="2026-02-27T00:00:00"/>
    <m/>
    <m/>
    <d v="2026-03-03T00:00:00"/>
    <d v="2026-03-03T00:00:00"/>
    <s v="DONE"/>
    <s v="027/DISP-REGJB/BDO/II/2026"/>
    <s v="Pengajuan Parcel Customer Pareto KCU Bandung"/>
    <m/>
    <m/>
    <m/>
    <s v="P'Bas"/>
    <s v="P'Malv"/>
    <m/>
    <m/>
    <m/>
    <m/>
    <m/>
    <m/>
    <m/>
    <n v="0"/>
    <n v="1"/>
    <x v="0"/>
    <x v="1"/>
  </r>
  <r>
    <x v="0"/>
    <x v="6"/>
    <d v="2026-02-26T00:00:00"/>
    <d v="2026-02-26T00:00:00"/>
    <d v="2026-02-26T00:00:00"/>
    <d v="2026-02-27T00:00:00"/>
    <m/>
    <m/>
    <d v="2026-03-02T00:00:00"/>
    <d v="2026-03-02T00:00:00"/>
    <s v="DONE"/>
    <s v="028/DISP-REGJB/BDO/II/2026"/>
    <s v="Pengajuan Pemberian Iftar Customer Pareto Social Commerce Bandung"/>
    <m/>
    <s v="Rp. 4.000.000"/>
    <m/>
    <s v="P'Bas"/>
    <s v="P'Indr"/>
    <m/>
    <m/>
    <m/>
    <m/>
    <m/>
    <m/>
    <m/>
    <n v="0"/>
    <n v="1"/>
    <x v="0"/>
    <x v="1"/>
  </r>
  <r>
    <x v="0"/>
    <x v="7"/>
    <d v="2026-03-03T00:00:00"/>
    <d v="2026-03-03T00:00:00"/>
    <d v="2026-03-03T00:00:00"/>
    <m/>
    <m/>
    <m/>
    <d v="2026-03-03T00:00:00"/>
    <d v="2026-03-03T00:00:00"/>
    <s v="DONE"/>
    <s v="029/DISP-REGJB/BDO/III/2026"/>
    <s v="Pengajuan Sewa Armada Harian Vendor Lokal"/>
    <m/>
    <m/>
    <m/>
    <m/>
    <m/>
    <m/>
    <m/>
    <m/>
    <m/>
    <m/>
    <m/>
    <m/>
    <n v="0"/>
    <n v="0"/>
    <x v="0"/>
    <x v="1"/>
  </r>
  <r>
    <x v="0"/>
    <x v="1"/>
    <d v="2026-03-03T00:00:00"/>
    <d v="2026-03-03T00:00:00"/>
    <d v="2026-03-03T00:00:00"/>
    <d v="2026-03-03T00:00:00"/>
    <m/>
    <m/>
    <d v="2026-03-03T00:00:00"/>
    <d v="2026-03-03T00:00:00"/>
    <s v="DONE"/>
    <s v="030/DISP-REGJB/BDO/III/2026"/>
    <s v="Pengajuan cashback Fee untuk PIC Tiger Association Bandung"/>
    <m/>
    <m/>
    <m/>
    <s v="P'Hend"/>
    <s v="P'Bas"/>
    <m/>
    <m/>
    <m/>
    <m/>
    <m/>
    <m/>
    <m/>
    <n v="0"/>
    <n v="0"/>
    <x v="0"/>
    <x v="1"/>
  </r>
  <r>
    <x v="0"/>
    <x v="7"/>
    <d v="2026-03-06T00:00:00"/>
    <d v="2026-03-06T00:00:00"/>
    <d v="2026-03-07T00:00:00"/>
    <m/>
    <m/>
    <m/>
    <d v="2026-03-07T00:00:00"/>
    <d v="2026-03-07T00:00:00"/>
    <s v="DONE"/>
    <s v="031/DISP-REGJB/BDO/III/2026"/>
    <s v="Pengajuan Sewa Armada Harian Vendor Lokal BV"/>
    <m/>
    <s v="Rp. 1.400.000"/>
    <m/>
    <m/>
    <m/>
    <m/>
    <m/>
    <m/>
    <m/>
    <m/>
    <m/>
    <m/>
    <n v="1"/>
    <n v="1"/>
    <x v="0"/>
    <x v="1"/>
  </r>
  <r>
    <x v="0"/>
    <x v="0"/>
    <d v="2026-03-09T00:00:00"/>
    <d v="2026-03-10T00:00:00"/>
    <d v="2026-03-10T00:00:00"/>
    <d v="2026-03-11T00:00:00"/>
    <m/>
    <m/>
    <d v="2026-03-11T00:00:00"/>
    <d v="2026-03-11T00:00:00"/>
    <s v="DONE"/>
    <s v="032/DISP-REGJB/BDO/III/2026"/>
    <s v="Pengajuan Biaya SDM untuk Proses Pencetakan Surat Tilang POLDA Jawa Barat "/>
    <m/>
    <m/>
    <m/>
    <s v="P'Hend"/>
    <s v="P'Bas"/>
    <m/>
    <m/>
    <m/>
    <m/>
    <m/>
    <m/>
    <m/>
    <n v="0"/>
    <n v="1"/>
    <x v="0"/>
    <x v="1"/>
  </r>
  <r>
    <x v="0"/>
    <x v="2"/>
    <d v="2026-03-10T00:00:00"/>
    <d v="2026-03-10T00:00:00"/>
    <d v="2026-03-10T00:00:00"/>
    <m/>
    <d v="2026-03-17T00:00:00"/>
    <m/>
    <m/>
    <m/>
    <m/>
    <s v="033/DISP-REGJB/BDO/III/2026"/>
    <s v="Pengajuan Tunjangan Beras untuk Pekerja Outsourcing di JNE Cab. Bandung"/>
    <m/>
    <m/>
    <m/>
    <s v="P'Bas"/>
    <s v="P'Jojo"/>
    <s v="P'Ayung"/>
    <s v="P'Chan"/>
    <m/>
    <m/>
    <m/>
    <m/>
    <m/>
    <n v="0"/>
    <n v="7"/>
    <x v="0"/>
    <x v="1"/>
  </r>
  <r>
    <x v="0"/>
    <x v="8"/>
    <d v="2026-03-11T00:00:00"/>
    <d v="2026-03-11T00:00:00"/>
    <d v="2026-03-11T00:00:00"/>
    <d v="2026-03-11T00:00:00"/>
    <d v="2026-03-11T00:00:00"/>
    <d v="2026-03-17T00:00:00"/>
    <d v="2026-03-17T00:00:00"/>
    <d v="2026-03-17T00:00:00"/>
    <s v="DONE"/>
    <s v="034/DISP-REGJB/BDO/III/2026"/>
    <s v="Pengajuan Akuisisi Cabang Mitra Tanggeung"/>
    <m/>
    <m/>
    <m/>
    <s v="P'Bas"/>
    <s v="P'Jojo"/>
    <s v="P'Edi"/>
    <s v="P'Chan"/>
    <m/>
    <m/>
    <m/>
    <m/>
    <m/>
    <n v="0"/>
    <n v="6"/>
    <x v="0"/>
    <x v="1"/>
  </r>
  <r>
    <x v="0"/>
    <x v="2"/>
    <d v="2026-03-11T00:00:00"/>
    <d v="2026-03-11T00:00:00"/>
    <d v="2026-03-11T00:00:00"/>
    <d v="2026-03-11T00:00:00"/>
    <d v="2026-03-11T00:00:00"/>
    <m/>
    <d v="2026-03-11T00:00:00"/>
    <d v="2026-03-11T00:00:00"/>
    <s v="DONE"/>
    <s v="035/DISP-REGJB/BDO/III/2026"/>
    <s v="Pengajuan Penyaluran Dana +J45+K39"/>
    <m/>
    <s v="Rp, 271,500,000"/>
    <m/>
    <s v="P'Bas"/>
    <s v="P'Fikri"/>
    <m/>
    <m/>
    <m/>
    <m/>
    <m/>
    <m/>
    <m/>
    <n v="0"/>
    <n v="0"/>
    <x v="0"/>
    <x v="1"/>
  </r>
  <r>
    <x v="0"/>
    <x v="0"/>
    <d v="2026-03-13T00:00:00"/>
    <d v="2026-03-13T00:00:00"/>
    <d v="2026-03-17T00:00:00"/>
    <d v="2026-03-17T00:00:00"/>
    <m/>
    <m/>
    <d v="2026-03-17T00:00:00"/>
    <d v="2026-03-17T00:00:00"/>
    <s v="DONE"/>
    <s v="036/DISP-REGJB/BDO/III/2026"/>
    <s v="Disposisi Pengajuan Flat Tarif Kiriman Dokumen Samsat Rancaekek Kab Bandung"/>
    <m/>
    <m/>
    <m/>
    <s v="P'Hend"/>
    <s v="P'Bas"/>
    <m/>
    <m/>
    <m/>
    <m/>
    <m/>
    <m/>
    <m/>
    <n v="4"/>
    <n v="4"/>
    <x v="1"/>
    <x v="1"/>
  </r>
  <r>
    <x v="0"/>
    <x v="0"/>
    <d v="2026-03-25T00:00:00"/>
    <d v="2026-03-26T00:00:00"/>
    <d v="2026-03-27T00:00:00"/>
    <d v="2026-03-31T00:00:00"/>
    <d v="2026-04-08T00:00:00"/>
    <d v="2026-04-08T00:00:00"/>
    <d v="2026-04-07T00:00:00"/>
    <d v="2026-04-07T00:00:00"/>
    <s v="DONE"/>
    <s v="037/DISP-REGJB/BDO/III/2026"/>
    <s v="Pengajuan Promo Flat YES Tujuan Jawa Barat dan JABODETABEKCIKCIL "/>
    <m/>
    <m/>
    <m/>
    <s v="P'Hend"/>
    <s v="P'Bas"/>
    <s v="P'Edi"/>
    <m/>
    <m/>
    <m/>
    <m/>
    <m/>
    <m/>
    <n v="1"/>
    <n v="13"/>
    <x v="0"/>
    <x v="0"/>
  </r>
  <r>
    <x v="0"/>
    <x v="3"/>
    <d v="2026-04-01T00:00:00"/>
    <d v="2026-04-01T00:00:00"/>
    <d v="2026-04-01T00:00:00"/>
    <d v="2026-04-02T00:00:00"/>
    <m/>
    <m/>
    <d v="2026-04-01T00:00:00"/>
    <d v="2026-04-01T00:00:00"/>
    <s v="DONE"/>
    <s v="038/DISP-REGJB/BDO/IV/2026"/>
    <s v="Pengajuan  Biaya Operasional KP Cidaun"/>
    <m/>
    <m/>
    <m/>
    <m/>
    <m/>
    <m/>
    <m/>
    <m/>
    <m/>
    <m/>
    <m/>
    <m/>
    <n v="0"/>
    <n v="1"/>
    <x v="0"/>
    <x v="1"/>
  </r>
  <r>
    <x v="0"/>
    <x v="2"/>
    <d v="2026-04-01T00:00:00"/>
    <d v="2026-04-01T00:00:00"/>
    <d v="2026-04-01T00:00:00"/>
    <d v="2026-04-02T00:00:00"/>
    <m/>
    <m/>
    <d v="2026-04-02T00:00:00"/>
    <d v="2026-04-02T00:00:00"/>
    <s v="DONE"/>
    <s v="039/DISP-REGJB/BDO/IV/2026"/>
    <s v="Pengajuan anggaran Kegiatan  Nonton Bareng Halal Bihalal JNE 2026"/>
    <m/>
    <m/>
    <m/>
    <s v="P'Bas"/>
    <s v="P'Wahyu"/>
    <s v="Píndr"/>
    <m/>
    <m/>
    <m/>
    <m/>
    <m/>
    <m/>
    <n v="0"/>
    <n v="1"/>
    <x v="0"/>
    <x v="1"/>
  </r>
  <r>
    <x v="0"/>
    <x v="2"/>
    <d v="2026-04-06T00:00:00"/>
    <d v="2026-04-06T00:00:00"/>
    <d v="2026-04-06T00:00:00"/>
    <d v="2026-04-06T00:00:00"/>
    <m/>
    <m/>
    <d v="2026-04-07T00:00:00"/>
    <d v="2026-04-07T00:00:00"/>
    <s v="DONE"/>
    <s v="040/DISP-REGJB/BDO/IV/2026"/>
    <s v="Pengajuan Dana CSR Bantuan Kecelakaan atas nama Gilang M Ropi"/>
    <m/>
    <m/>
    <m/>
    <s v="P'Bas"/>
    <s v="P'Indr"/>
    <m/>
    <m/>
    <m/>
    <m/>
    <m/>
    <m/>
    <m/>
    <n v="0"/>
    <n v="0"/>
    <x v="0"/>
    <x v="1"/>
  </r>
  <r>
    <x v="0"/>
    <x v="3"/>
    <d v="2026-04-07T00:00:00"/>
    <d v="2026-04-08T00:00:00"/>
    <d v="2026-04-08T00:00:00"/>
    <d v="2026-04-08T00:00:00"/>
    <m/>
    <m/>
    <d v="2026-04-10T00:00:00"/>
    <d v="2026-04-10T00:00:00"/>
    <s v="DONE"/>
    <s v="041/DISP-REGJB/BDO/IV/2026"/>
    <s v="Pengajuan Penjualan Eksternal (Vendor) – Batch 31"/>
    <m/>
    <m/>
    <m/>
    <s v="P'Bas"/>
    <s v="P'Malv"/>
    <m/>
    <m/>
    <m/>
    <m/>
    <m/>
    <m/>
    <m/>
    <n v="0"/>
    <n v="0"/>
    <x v="0"/>
    <x v="1"/>
  </r>
  <r>
    <x v="0"/>
    <x v="3"/>
    <d v="2026-04-07T00:00:00"/>
    <d v="2026-04-08T00:00:00"/>
    <d v="2026-04-08T00:00:00"/>
    <d v="2026-04-08T00:00:00"/>
    <m/>
    <m/>
    <d v="2026-04-10T00:00:00"/>
    <d v="2026-04-10T00:00:00"/>
    <s v="DONE"/>
    <s v="042/DISP-REGJB/BDO/IV/2026"/>
    <s v="Pengajuan Destroy Barang (Batch 13)"/>
    <m/>
    <m/>
    <m/>
    <s v="P'Bas"/>
    <s v="P'Malv"/>
    <m/>
    <m/>
    <m/>
    <m/>
    <m/>
    <m/>
    <m/>
    <n v="0"/>
    <n v="0"/>
    <x v="0"/>
    <x v="1"/>
  </r>
  <r>
    <x v="0"/>
    <x v="3"/>
    <d v="2026-04-08T00:00:00"/>
    <d v="2026-04-08T00:00:00"/>
    <d v="2026-04-08T00:00:00"/>
    <d v="2026-04-08T00:00:00"/>
    <m/>
    <m/>
    <d v="2026-04-10T00:00:00"/>
    <d v="2026-04-10T00:00:00"/>
    <s v="DONE"/>
    <s v="043/DISP-REGJB/BDO/IV/2026"/>
    <s v="Pengajuan  Biaya Operasional Drop Point Rancamanyar"/>
    <m/>
    <m/>
    <m/>
    <s v="P'Bas"/>
    <s v="P'Indr"/>
    <m/>
    <m/>
    <m/>
    <m/>
    <m/>
    <m/>
    <m/>
    <n v="0"/>
    <n v="0"/>
    <x v="0"/>
    <x v="1"/>
  </r>
  <r>
    <x v="0"/>
    <x v="3"/>
    <d v="2026-04-07T00:00:00"/>
    <d v="2026-04-08T00:00:00"/>
    <d v="2026-04-08T00:00:00"/>
    <d v="2026-04-08T00:00:00"/>
    <m/>
    <m/>
    <d v="2026-04-10T00:00:00"/>
    <d v="2026-04-10T00:00:00"/>
    <s v="DONE"/>
    <s v="044/DISP-REGJB/BDO/IV/2026"/>
    <s v="Pengajuan Penjualan Internal (Karyawan) – Batch 4"/>
    <m/>
    <m/>
    <m/>
    <s v="P'Bas"/>
    <s v="P'Malv"/>
    <m/>
    <m/>
    <m/>
    <m/>
    <m/>
    <m/>
    <m/>
    <n v="0"/>
    <n v="0"/>
    <x v="0"/>
    <x v="1"/>
  </r>
  <r>
    <x v="0"/>
    <x v="3"/>
    <d v="2026-04-08T00:00:00"/>
    <d v="2026-04-08T00:00:00"/>
    <d v="2026-04-08T00:00:00"/>
    <d v="2026-04-08T00:00:00"/>
    <m/>
    <m/>
    <d v="2026-04-09T00:00:00"/>
    <d v="2026-04-09T00:00:00"/>
    <s v="DONE"/>
    <s v="045/DISP-REGJB/BDO/IV/2026"/>
    <s v="Pengajuan  Biaya Operasional Untuk KP Abdullah Bin Nuh"/>
    <m/>
    <m/>
    <m/>
    <s v="P'Bas"/>
    <s v="P'Malv"/>
    <m/>
    <m/>
    <m/>
    <m/>
    <m/>
    <m/>
    <m/>
    <n v="0"/>
    <n v="0"/>
    <x v="0"/>
    <x v="1"/>
  </r>
  <r>
    <x v="0"/>
    <x v="3"/>
    <d v="2026-04-09T00:00:00"/>
    <d v="2026-04-09T00:00:00"/>
    <d v="2026-04-10T00:00:00"/>
    <d v="2026-04-13T00:00:00"/>
    <m/>
    <m/>
    <d v="2026-04-14T00:00:00"/>
    <d v="2026-04-14T00:00:00"/>
    <s v="DONE"/>
    <s v="046/DISP-REGJB/BDO/IV/2026"/>
    <s v="Pencabutan berkas perkara dan penarikan armada D 8405 FX"/>
    <m/>
    <m/>
    <m/>
    <s v="P'Bas"/>
    <s v="P'Malv"/>
    <m/>
    <m/>
    <m/>
    <m/>
    <m/>
    <m/>
    <m/>
    <n v="1"/>
    <n v="4"/>
    <x v="0"/>
    <x v="1"/>
  </r>
  <r>
    <x v="0"/>
    <x v="2"/>
    <d v="2026-04-10T00:00:00"/>
    <d v="2026-04-10T00:00:00"/>
    <d v="2026-04-10T00:00:00"/>
    <d v="2026-04-14T00:00:00"/>
    <d v="2026-04-24T00:00:00"/>
    <m/>
    <d v="2026-04-24T00:00:00"/>
    <d v="2026-04-24T00:00:00"/>
    <s v="DONE"/>
    <s v="047/DISP-REGJB/BDO/IV/2026"/>
    <s v="Permohonan Cuti Khusus Karyawan Sakit a.n M. Ramdhan"/>
    <m/>
    <m/>
    <m/>
    <s v="P'Bas"/>
    <s v="P'Jojo"/>
    <m/>
    <m/>
    <m/>
    <m/>
    <m/>
    <m/>
    <m/>
    <n v="0"/>
    <n v="14"/>
    <x v="0"/>
    <x v="0"/>
  </r>
  <r>
    <x v="0"/>
    <x v="0"/>
    <d v="2026-04-10T00:00:00"/>
    <d v="2026-04-10T00:00:00"/>
    <d v="2026-04-10T00:00:00"/>
    <d v="2026-04-20T00:00:00"/>
    <m/>
    <m/>
    <d v="2026-04-15T00:00:00"/>
    <d v="2026-04-15T00:00:00"/>
    <s v="DONE"/>
    <s v="048/DISP-REGJB/BDO/IV/2026"/>
    <s v="Pengajuan biaya operasional Kurir Kiriman Projek Dinas Kesehatan Kab. Bandung Barat"/>
    <m/>
    <m/>
    <m/>
    <s v="P'Bas"/>
    <m/>
    <m/>
    <m/>
    <m/>
    <m/>
    <m/>
    <m/>
    <m/>
    <n v="0"/>
    <n v="10"/>
    <x v="0"/>
    <x v="1"/>
  </r>
  <r>
    <x v="0"/>
    <x v="2"/>
    <d v="2026-04-13T00:00:00"/>
    <d v="2026-04-13T00:00:00"/>
    <d v="2026-04-13T00:00:00"/>
    <d v="2026-04-13T00:00:00"/>
    <m/>
    <m/>
    <d v="2026-04-14T00:00:00"/>
    <d v="2026-04-14T00:00:00"/>
    <s v="DONE"/>
    <s v="049/DISP-REGJB/BDO/IV/2026"/>
    <s v="Pengajuan Biaya CI Competition JNE Bandung ( Mindlab 90)"/>
    <m/>
    <m/>
    <m/>
    <s v="P'Bas"/>
    <s v="P'Malv"/>
    <m/>
    <m/>
    <m/>
    <m/>
    <m/>
    <m/>
    <m/>
    <n v="0"/>
    <n v="0"/>
    <x v="0"/>
    <x v="1"/>
  </r>
  <r>
    <x v="0"/>
    <x v="3"/>
    <d v="2026-04-13T00:00:00"/>
    <d v="2026-04-14T00:00:00"/>
    <d v="2026-04-17T00:00:00"/>
    <d v="2026-04-20T00:00:00"/>
    <m/>
    <m/>
    <d v="2026-04-20T00:00:00"/>
    <d v="2026-04-20T00:00:00"/>
    <s v="DONE"/>
    <s v="050/DISP-REGJB/BDO/IV/2026"/>
    <s v="Pengajuan  Biaya Operasional Untuk Smart Point  Suryakanti - Bandung"/>
    <m/>
    <m/>
    <m/>
    <s v="P'Bas"/>
    <s v="P'Malv"/>
    <m/>
    <m/>
    <m/>
    <m/>
    <m/>
    <m/>
    <m/>
    <n v="3"/>
    <n v="6"/>
    <x v="0"/>
    <x v="1"/>
  </r>
  <r>
    <x v="0"/>
    <x v="3"/>
    <d v="2026-04-13T00:00:00"/>
    <d v="2026-04-14T00:00:00"/>
    <d v="2026-04-17T00:00:00"/>
    <d v="2026-04-20T00:00:00"/>
    <m/>
    <m/>
    <d v="2026-04-27T00:00:00"/>
    <d v="2026-04-27T00:00:00"/>
    <s v="DONE"/>
    <s v="051/DISP-REGJB/BDO/IV/2026"/>
    <s v="Pengajuan Persetujuan Biaya Sewa dan Operasional Drop Point Bojongsoang"/>
    <m/>
    <m/>
    <m/>
    <s v="P'Bas"/>
    <s v="P'Malv"/>
    <m/>
    <m/>
    <m/>
    <m/>
    <m/>
    <m/>
    <m/>
    <n v="3"/>
    <n v="6"/>
    <x v="0"/>
    <x v="1"/>
  </r>
  <r>
    <x v="0"/>
    <x v="3"/>
    <d v="2026-04-13T00:00:00"/>
    <d v="2026-04-14T00:00:00"/>
    <d v="2026-04-17T00:00:00"/>
    <d v="2026-04-20T00:00:00"/>
    <m/>
    <m/>
    <d v="2026-04-21T00:00:00"/>
    <d v="2026-04-21T00:00:00"/>
    <s v="DONE"/>
    <s v="052/DISP-REGJB/BDO/IV/2026"/>
    <s v="Pengajuan  Biaya Operasional KP Cidaun"/>
    <m/>
    <m/>
    <m/>
    <s v="P'Bas"/>
    <s v="P'Indr"/>
    <m/>
    <m/>
    <m/>
    <m/>
    <m/>
    <m/>
    <m/>
    <n v="3"/>
    <n v="6"/>
    <x v="0"/>
    <x v="1"/>
  </r>
  <r>
    <x v="0"/>
    <x v="2"/>
    <d v="2026-04-17T00:00:00"/>
    <d v="2026-04-20T00:00:00"/>
    <d v="2026-04-17T00:00:00"/>
    <d v="2026-04-21T00:00:00"/>
    <d v="2026-04-30T00:00:00"/>
    <m/>
    <m/>
    <m/>
    <m/>
    <s v="053/DISP-REGJB/BDO/IV/2026"/>
    <s v="Pengajuan Penambahan Sub Branch dibawah Cianjur &amp; Penambahan Koordinator"/>
    <m/>
    <m/>
    <m/>
    <s v="P'Bas"/>
    <s v="P'Jojo"/>
    <s v="P'Edi"/>
    <s v="P'Chan"/>
    <m/>
    <m/>
    <m/>
    <m/>
    <m/>
    <n v="-3"/>
    <n v="10"/>
    <x v="0"/>
    <x v="1"/>
  </r>
  <r>
    <x v="0"/>
    <x v="3"/>
    <d v="2026-04-20T00:00:00"/>
    <d v="2026-04-20T00:00:00"/>
    <d v="2026-04-21T00:00:00"/>
    <d v="2026-04-21T00:00:00"/>
    <m/>
    <m/>
    <d v="2026-04-21T00:00:00"/>
    <d v="2026-04-21T00:00:00"/>
    <s v="DONE"/>
    <s v="054/DISP-REGJB/BDO/IV/2026"/>
    <s v="Pengajuan  Biaya Operasional Untuk Cabang Sumedang (Pangkor)"/>
    <m/>
    <m/>
    <m/>
    <s v="P'Bas"/>
    <s v="P'Malv"/>
    <m/>
    <m/>
    <m/>
    <m/>
    <m/>
    <m/>
    <m/>
    <n v="1"/>
    <n v="1"/>
    <x v="0"/>
    <x v="1"/>
  </r>
  <r>
    <x v="0"/>
    <x v="0"/>
    <d v="2026-04-20T00:00:00"/>
    <d v="2026-04-20T00:00:00"/>
    <d v="2026-04-20T00:00:00"/>
    <d v="2026-04-21T00:00:00"/>
    <d v="2026-05-12T00:00:00"/>
    <d v="2026-05-12T00:00:00"/>
    <d v="2026-05-12T00:00:00"/>
    <d v="2026-05-12T00:00:00"/>
    <s v="DONE"/>
    <s v="055/DISP-REGJB/BDO/IV/2026"/>
    <s v="Pengajuan Tarif untuk Kerjasama dengan Direktorat Perhubungan Darat Kementrian Perhubungan RI"/>
    <m/>
    <m/>
    <m/>
    <s v="P'Hend"/>
    <s v="P'Bas"/>
    <s v="P'Edi"/>
    <s v="P'Chan"/>
    <m/>
    <m/>
    <m/>
    <m/>
    <m/>
    <n v="0"/>
    <n v="22"/>
    <x v="0"/>
    <x v="0"/>
  </r>
  <r>
    <x v="0"/>
    <x v="0"/>
    <d v="2026-04-20T00:00:00"/>
    <d v="2026-04-20T00:00:00"/>
    <d v="2026-04-20T00:00:00"/>
    <d v="2026-04-23T00:00:00"/>
    <m/>
    <m/>
    <d v="2026-04-24T00:00:00"/>
    <d v="2026-04-24T00:00:00"/>
    <s v="DONE"/>
    <s v="056/DISP-REGJB/BDO/IV/2026"/>
    <s v="Disposisi Pengajuan Spesial Tarif (flat) Kiriman Dokumen Samsat Pajajaran Bandung"/>
    <m/>
    <m/>
    <m/>
    <s v="P'Hend"/>
    <s v="P'Bas"/>
    <m/>
    <m/>
    <m/>
    <m/>
    <m/>
    <m/>
    <m/>
    <n v="0"/>
    <n v="3"/>
    <x v="0"/>
    <x v="1"/>
  </r>
  <r>
    <x v="0"/>
    <x v="3"/>
    <d v="2026-04-24T00:00:00"/>
    <d v="2026-04-24T00:00:00"/>
    <d v="2026-04-26T00:00:00"/>
    <d v="2026-04-27T00:00:00"/>
    <m/>
    <m/>
    <d v="2026-04-27T00:00:00"/>
    <d v="2026-04-27T00:00:00"/>
    <s v="DONE"/>
    <s v="057/DISP-REGJB/BDO/IV/2026"/>
    <s v="Pengajuan  Biaya Operasional KP Sindangbarang"/>
    <m/>
    <m/>
    <m/>
    <s v="P'Bas"/>
    <s v="P'Indr"/>
    <m/>
    <m/>
    <m/>
    <m/>
    <m/>
    <m/>
    <m/>
    <n v="2"/>
    <n v="3"/>
    <x v="0"/>
    <x v="1"/>
  </r>
  <r>
    <x v="0"/>
    <x v="3"/>
    <d v="2026-05-06T00:00:00"/>
    <d v="2026-05-06T00:00:00"/>
    <d v="2026-05-06T00:00:00"/>
    <d v="2026-05-12T00:00:00"/>
    <m/>
    <m/>
    <d v="2026-05-12T00:00:00"/>
    <d v="2026-05-12T00:00:00"/>
    <s v="DONE"/>
    <s v="058/DISP-REGJB/BDO/V/2026"/>
    <s v="Pengajuan Biaya Operasional KP Sindangbarang 1 Mei 2026 – 30 April 2027"/>
    <m/>
    <m/>
    <m/>
    <s v="P'Bas"/>
    <s v="P'Malv"/>
    <m/>
    <m/>
    <m/>
    <m/>
    <m/>
    <m/>
    <m/>
    <n v="0"/>
    <n v="6"/>
    <x v="0"/>
    <x v="1"/>
  </r>
  <r>
    <x v="0"/>
    <x v="4"/>
    <d v="2026-05-07T00:00:00"/>
    <d v="2026-05-07T00:00:00"/>
    <d v="2026-05-07T00:00:00"/>
    <d v="2026-05-13T00:00:00"/>
    <d v="2026-06-08T00:00:00"/>
    <m/>
    <m/>
    <m/>
    <m/>
    <s v="059/DISP-REGJB/BDO/V/2026"/>
    <s v="Pembelian 10 Unit Coway Water Purifier untuk 4 Fasilitas di JNE Bandung (Gedebage, Soeta 452, Kawaluyaan, Naripan)"/>
    <m/>
    <m/>
    <m/>
    <s v="P'Bas"/>
    <s v="P'Malv"/>
    <s v="P'Jojo"/>
    <s v="P'Jose"/>
    <s v="P'Chan"/>
    <s v="P'Feri"/>
    <m/>
    <m/>
    <m/>
    <n v="0"/>
    <n v="32"/>
    <x v="0"/>
    <x v="0"/>
  </r>
  <r>
    <x v="0"/>
    <x v="0"/>
    <d v="2026-05-07T00:00:00"/>
    <d v="2026-05-08T00:00:00"/>
    <d v="2026-05-08T00:00:00"/>
    <d v="2026-05-18T00:00:00"/>
    <m/>
    <m/>
    <d v="2026-05-18T00:00:00"/>
    <d v="2026-05-18T00:00:00"/>
    <s v="DONE"/>
    <s v="060/DISP-REGJB/BDO/V/2026"/>
    <s v="Disposisi Program Cashback #GRAHA BISNISHUB/BANDUNG"/>
    <m/>
    <m/>
    <m/>
    <s v="P'Hend"/>
    <s v="P'Bas"/>
    <m/>
    <m/>
    <m/>
    <m/>
    <m/>
    <m/>
    <m/>
    <n v="0"/>
    <n v="10"/>
    <x v="0"/>
    <x v="1"/>
  </r>
  <r>
    <x v="0"/>
    <x v="1"/>
    <d v="2026-05-11T00:00:00"/>
    <d v="2026-05-12T00:00:00"/>
    <d v="2026-05-12T00:00:00"/>
    <d v="2026-05-12T00:00:00"/>
    <m/>
    <m/>
    <d v="2026-05-12T00:00:00"/>
    <d v="2026-05-12T00:00:00"/>
    <s v="DONE"/>
    <s v="061/DISP-REGJB/BDO/V/2026"/>
    <s v="Pengajuan cashback Fee untuk PIC PT. Benings Glow Indonesia   "/>
    <m/>
    <m/>
    <m/>
    <s v="P'Hend"/>
    <s v="P'Bas"/>
    <m/>
    <m/>
    <m/>
    <m/>
    <m/>
    <m/>
    <m/>
    <n v="0"/>
    <n v="0"/>
    <x v="0"/>
    <x v="1"/>
  </r>
  <r>
    <x v="0"/>
    <x v="2"/>
    <d v="2026-05-13T00:00:00"/>
    <d v="2026-05-14T00:00:00"/>
    <d v="2026-05-13T00:00:00"/>
    <d v="2026-05-15T00:00:00"/>
    <m/>
    <m/>
    <d v="2026-05-19T00:00:00"/>
    <d v="2026-05-19T00:00:00"/>
    <s v="DONE"/>
    <s v="062/DISP-REGJB/BDO/V/2026"/>
    <s v="Pengajuan Budget Pelaksanaan Penyembelihan Hewan Qurban JNE Bandung 1447 H"/>
    <m/>
    <m/>
    <m/>
    <s v="P'Bas"/>
    <s v="P'Wahyu"/>
    <s v="P'Indr"/>
    <m/>
    <m/>
    <m/>
    <m/>
    <m/>
    <m/>
    <n v="-1"/>
    <n v="1"/>
    <x v="0"/>
    <x v="1"/>
  </r>
  <r>
    <x v="0"/>
    <x v="2"/>
    <d v="2026-05-13T00:00:00"/>
    <d v="2026-05-14T00:00:00"/>
    <d v="2026-05-13T00:00:00"/>
    <d v="2026-05-15T00:00:00"/>
    <d v="2026-05-19T00:00:00"/>
    <m/>
    <d v="2026-05-19T00:00:00"/>
    <d v="2026-05-19T00:00:00"/>
    <s v="DONE"/>
    <s v="063/DISP-REGJB/BDO/V/2026"/>
    <s v="Permohonan Cuti Khusus Karyawan Sakit a.n Sansan Nurseha"/>
    <m/>
    <m/>
    <m/>
    <s v="P'Bas"/>
    <s v="P'Jojo"/>
    <m/>
    <m/>
    <m/>
    <m/>
    <m/>
    <m/>
    <m/>
    <n v="-1"/>
    <n v="5"/>
    <x v="0"/>
    <x v="1"/>
  </r>
  <r>
    <x v="0"/>
    <x v="2"/>
    <d v="2026-05-07T00:00:00"/>
    <d v="2026-05-15T00:00:00"/>
    <d v="2026-05-15T00:00:00"/>
    <d v="2026-05-18T00:00:00"/>
    <m/>
    <m/>
    <d v="2026-05-18T00:00:00"/>
    <d v="2026-05-18T00:00:00"/>
    <s v="DONE"/>
    <s v="064/DISP-REGJB/BDO/V/2026"/>
    <s v="Pengajuan Tarif  untuk Kerjasama Project Kiriman Sampel SHK dengan Dinas Kesehatan Kota Cimahi"/>
    <m/>
    <m/>
    <m/>
    <s v="P'Hend"/>
    <s v="P'Bas"/>
    <m/>
    <m/>
    <m/>
    <m/>
    <m/>
    <m/>
    <m/>
    <n v="0"/>
    <n v="3"/>
    <x v="0"/>
    <x v="1"/>
  </r>
  <r>
    <x v="0"/>
    <x v="6"/>
    <d v="2026-05-13T00:00:00"/>
    <d v="2026-05-15T00:00:00"/>
    <d v="2026-05-13T00:00:00"/>
    <d v="2026-05-18T00:00:00"/>
    <d v="2026-05-26T00:00:00"/>
    <m/>
    <d v="2026-05-18T00:00:00"/>
    <d v="2026-05-18T00:00:00"/>
    <s v="DONE"/>
    <s v="065/DISP-REGJB/BDO/V/2026"/>
    <s v="Pengajuan Approval Perubahan Legalitas Customer PT Digital Laskar Pelangi Menjadi PT Lincah Cipta Harapan (Lincah)"/>
    <m/>
    <m/>
    <m/>
    <s v="P'Hend"/>
    <s v="P'Bas"/>
    <s v="P'Awi"/>
    <s v="P'Jose"/>
    <s v="P'Edi"/>
    <s v="P'Chan"/>
    <m/>
    <m/>
    <m/>
    <n v="-2"/>
    <n v="11"/>
    <x v="0"/>
    <x v="0"/>
  </r>
  <r>
    <x v="0"/>
    <x v="2"/>
    <d v="2026-05-13T00:00:00"/>
    <d v="2026-05-15T00:00:00"/>
    <d v="2026-05-13T00:00:00"/>
    <d v="2026-05-15T00:00:00"/>
    <m/>
    <m/>
    <d v="2026-05-18T00:00:00"/>
    <d v="2026-05-18T00:00:00"/>
    <s v="DONE"/>
    <s v="066/DISP-REGJB/BDO/V/2026"/>
    <s v="Pengajuan Dana CSR Karyawan Meninggal Dunia"/>
    <m/>
    <m/>
    <m/>
    <s v="P'Bas"/>
    <s v="P'Wahyu"/>
    <s v="P'Indr"/>
    <m/>
    <m/>
    <m/>
    <m/>
    <m/>
    <m/>
    <n v="-2"/>
    <n v="0"/>
    <x v="0"/>
    <x v="1"/>
  </r>
  <r>
    <x v="0"/>
    <x v="3"/>
    <d v="2026-05-13T00:00:00"/>
    <d v="2026-05-13T00:00:00"/>
    <d v="2026-05-15T00:00:00"/>
    <d v="2026-05-18T00:00:00"/>
    <m/>
    <m/>
    <d v="2026-05-22T00:00:00"/>
    <d v="2026-05-22T00:00:00"/>
    <s v="DONE"/>
    <s v="067/DISP-REGJB/BDO/V/2026"/>
    <s v="Pengajuan Destroy Barang (Batch 14)"/>
    <m/>
    <m/>
    <m/>
    <s v="P'Bas"/>
    <s v="P'Malv"/>
    <m/>
    <m/>
    <m/>
    <m/>
    <m/>
    <m/>
    <m/>
    <n v="2"/>
    <n v="5"/>
    <x v="0"/>
    <x v="1"/>
  </r>
  <r>
    <x v="0"/>
    <x v="3"/>
    <d v="2026-05-13T00:00:00"/>
    <d v="2026-05-13T00:00:00"/>
    <d v="2026-05-15T00:00:00"/>
    <d v="2026-05-18T00:00:00"/>
    <m/>
    <m/>
    <d v="2026-05-22T00:00:00"/>
    <d v="2026-05-22T00:00:00"/>
    <s v="DONE"/>
    <s v="068/DISP-REGJB/BDO/V/2026"/>
    <s v="Pengajuan Penjualan Eksternal (Vendor) – Batch 32"/>
    <m/>
    <m/>
    <m/>
    <s v="P'Bas"/>
    <s v="P'Malv"/>
    <m/>
    <m/>
    <m/>
    <m/>
    <m/>
    <m/>
    <m/>
    <n v="2"/>
    <n v="5"/>
    <x v="0"/>
    <x v="1"/>
  </r>
  <r>
    <x v="0"/>
    <x v="0"/>
    <d v="2026-05-12T00:00:00"/>
    <d v="2026-05-19T00:00:00"/>
    <d v="2026-05-19T00:00:00"/>
    <d v="2026-05-22T00:00:00"/>
    <m/>
    <m/>
    <d v="2026-05-22T00:00:00"/>
    <d v="2026-05-22T00:00:00"/>
    <s v="DONE"/>
    <s v="069/DISP-REGJB/BDO/V/2026"/>
    <s v="Pengajuan Program Sharing &amp; Akuisisi Customer TikTok"/>
    <m/>
    <s v="Rp. 7.750.000"/>
    <m/>
    <s v="P'Hend"/>
    <s v="P'Bas"/>
    <s v="P'Malv"/>
    <m/>
    <m/>
    <m/>
    <m/>
    <m/>
    <m/>
    <n v="0"/>
    <n v="3"/>
    <x v="0"/>
    <x v="1"/>
  </r>
  <r>
    <x v="0"/>
    <x v="6"/>
    <d v="2026-06-02T00:00:00"/>
    <d v="2026-06-04T00:00:00"/>
    <d v="2026-06-02T00:00:00"/>
    <d v="2026-06-08T00:00:00"/>
    <m/>
    <m/>
    <m/>
    <m/>
    <m/>
    <s v="070/DISP-REGJB/BDO/VI/2026"/>
    <s v="Pengajuan Flat Tarif Distribusi Pajak Kendaraan Bermotor Jawa Barat – PT Practell Amanah Asia (Jumpapay.com)"/>
    <m/>
    <m/>
    <m/>
    <s v="P'Hend"/>
    <s v="P'Bas"/>
    <s v="P'Awi"/>
    <s v="P'Jose"/>
    <s v="P'Edi"/>
    <s v="P'Chan"/>
    <m/>
    <m/>
    <m/>
    <n v="-2"/>
    <n v="4"/>
    <x v="0"/>
    <x v="1"/>
  </r>
  <r>
    <x v="0"/>
    <x v="3"/>
    <d v="2026-05-29T00:00:00"/>
    <d v="2026-06-04T00:00:00"/>
    <d v="2026-06-04T00:00:00"/>
    <d v="2026-06-04T00:00:00"/>
    <m/>
    <m/>
    <d v="2026-06-04T00:00:00"/>
    <d v="2026-06-04T00:00:00"/>
    <s v="DONE"/>
    <s v="071/DISP-REGJB/BDO/VI/2026"/>
    <s v="Pengajuan  Biaya Operasional Untuk  Smartpoint Cibeber"/>
    <m/>
    <m/>
    <m/>
    <s v="P'Bas"/>
    <s v="P'Malv"/>
    <m/>
    <m/>
    <m/>
    <m/>
    <m/>
    <m/>
    <m/>
    <n v="0"/>
    <n v="0"/>
    <x v="0"/>
    <x v="1"/>
  </r>
  <r>
    <x v="0"/>
    <x v="0"/>
    <d v="2026-06-08T00:00:00"/>
    <d v="2026-06-08T00:00:00"/>
    <d v="2026-06-08T00:00:00"/>
    <d v="2026-06-17T00:00:00"/>
    <m/>
    <m/>
    <d v="2026-06-17T00:00:00"/>
    <d v="2026-06-17T00:00:00"/>
    <s v="DONE"/>
    <s v="072/DISP-REGJB/BDO/VI/2026"/>
    <s v="Pengajuan Program Happy Hours"/>
    <m/>
    <m/>
    <m/>
    <s v="P'Hend"/>
    <s v="P'Bas"/>
    <m/>
    <m/>
    <m/>
    <m/>
    <m/>
    <m/>
    <m/>
    <n v="0"/>
    <n v="9"/>
    <x v="0"/>
    <x v="1"/>
  </r>
  <r>
    <x v="0"/>
    <x v="3"/>
    <d v="2026-06-09T00:00:00"/>
    <d v="2026-06-09T00:00:00"/>
    <d v="2026-06-10T00:00:00"/>
    <d v="2026-06-11T00:00:00"/>
    <m/>
    <m/>
    <m/>
    <m/>
    <m/>
    <s v="073/DISP-REGJB/BDO/VI/2026"/>
    <s v="Pengajuan  Biaya Operasional KP Cidaun"/>
    <m/>
    <m/>
    <m/>
    <s v="P'Bas"/>
    <s v="P'Malv"/>
    <m/>
    <m/>
    <m/>
    <m/>
    <m/>
    <m/>
    <m/>
    <n v="1"/>
    <n v="2"/>
    <x v="0"/>
    <x v="1"/>
  </r>
  <r>
    <x v="0"/>
    <x v="3"/>
    <d v="2026-06-11T00:00:00"/>
    <d v="2026-06-11T00:00:00"/>
    <d v="2026-06-11T00:00:00"/>
    <d v="2026-06-12T00:00:00"/>
    <m/>
    <m/>
    <m/>
    <m/>
    <m/>
    <s v="074/DISP-REGJB/BDO/VI/2026"/>
    <s v="Pengajuan Penjualan Eksternal (Vendor) – Batch 33"/>
    <m/>
    <m/>
    <m/>
    <s v="P'Bas"/>
    <s v="P'Malv"/>
    <m/>
    <m/>
    <m/>
    <m/>
    <m/>
    <m/>
    <m/>
    <n v="0"/>
    <n v="1"/>
    <x v="0"/>
    <x v="1"/>
  </r>
  <r>
    <x v="0"/>
    <x v="3"/>
    <d v="2026-06-11T00:00:00"/>
    <d v="2026-06-11T00:00:00"/>
    <d v="2026-06-11T00:00:00"/>
    <d v="2026-06-12T00:00:00"/>
    <m/>
    <m/>
    <m/>
    <m/>
    <m/>
    <s v="075/DISP-REGJB/BDO/VI/2026"/>
    <s v="Pengajuan Destroy Barang (Batch 15)"/>
    <m/>
    <m/>
    <m/>
    <s v="P'Bas"/>
    <s v="P'Malv"/>
    <m/>
    <m/>
    <m/>
    <m/>
    <m/>
    <m/>
    <m/>
    <n v="0"/>
    <n v="1"/>
    <x v="0"/>
    <x v="1"/>
  </r>
  <r>
    <x v="0"/>
    <x v="0"/>
    <d v="2026-06-15T00:00:00"/>
    <d v="2026-06-17T00:00:00"/>
    <m/>
    <m/>
    <m/>
    <m/>
    <m/>
    <m/>
    <m/>
    <s v="076/DISP-REGJB/BDO/VI/2026"/>
    <s v="Disposisi Pengajuan Flat Tarif Kiriman Dokumen Samsat Kab Sumedang "/>
    <m/>
    <m/>
    <m/>
    <s v="P'Hend"/>
    <s v="P'Bas"/>
    <m/>
    <m/>
    <m/>
    <m/>
    <m/>
    <m/>
    <m/>
    <n v="-46190"/>
    <n v="-46190"/>
    <x v="0"/>
    <x v="1"/>
  </r>
  <r>
    <x v="1"/>
    <x v="8"/>
    <d v="2026-01-26T00:00:00"/>
    <d v="2026-01-26T00:00:00"/>
    <d v="2026-01-22T00:00:00"/>
    <d v="2026-02-06T00:00:00"/>
    <m/>
    <m/>
    <d v="2026-02-09T00:00:00"/>
    <d v="2026-02-09T00:00:00"/>
    <s v="DONE"/>
    <s v="#001/DISP/BDO/ACU/I/2026"/>
    <s v="PERBAIKAN FOLDING GATE KANTOR CIPANAS CIANJUR &amp; KANTOR CIWIDEY SOREANG"/>
    <m/>
    <s v="Rp. 21.450.000"/>
    <m/>
    <s v="P'Bas"/>
    <s v="P'Malv"/>
    <m/>
    <m/>
    <m/>
    <m/>
    <m/>
    <m/>
    <m/>
    <n v="-4"/>
    <n v="11"/>
    <x v="0"/>
    <x v="0"/>
  </r>
  <r>
    <x v="1"/>
    <x v="8"/>
    <d v="2026-01-26T00:00:00"/>
    <d v="2026-01-26T00:00:00"/>
    <d v="2026-01-22T00:00:00"/>
    <d v="2026-02-06T00:00:00"/>
    <m/>
    <m/>
    <d v="2026-02-09T00:00:00"/>
    <d v="2026-02-09T00:00:00"/>
    <s v="DONE"/>
    <s v="#002/DISP/BDO/ACU/I/2026"/>
    <s v="PEMBELIAN MOBILE DEVICE"/>
    <m/>
    <s v="Rp. 20.400.000,-"/>
    <m/>
    <s v="P'Bas"/>
    <s v="P'Malv"/>
    <m/>
    <m/>
    <m/>
    <m/>
    <m/>
    <m/>
    <m/>
    <n v="-4"/>
    <n v="11"/>
    <x v="0"/>
    <x v="0"/>
  </r>
  <r>
    <x v="1"/>
    <x v="8"/>
    <d v="2026-01-28T00:00:00"/>
    <d v="2026-01-29T00:00:00"/>
    <d v="2026-01-29T00:00:00"/>
    <d v="2026-01-29T00:00:00"/>
    <m/>
    <m/>
    <d v="2026-02-09T00:00:00"/>
    <d v="2026-02-09T00:00:00"/>
    <s v="DONE"/>
    <s v="#003/DISP/BDO/ACU/I/2026"/>
    <s v="PEMBELIAN INFOCUS"/>
    <m/>
    <s v="Rp. 9.500.000,-"/>
    <m/>
    <s v="P'Bas"/>
    <s v="P'Malv"/>
    <m/>
    <m/>
    <m/>
    <m/>
    <m/>
    <m/>
    <m/>
    <n v="0"/>
    <n v="0"/>
    <x v="0"/>
    <x v="1"/>
  </r>
  <r>
    <x v="1"/>
    <x v="8"/>
    <d v="2026-02-08T00:00:00"/>
    <d v="2026-02-08T00:00:00"/>
    <d v="2026-02-06T00:00:00"/>
    <m/>
    <m/>
    <m/>
    <m/>
    <m/>
    <m/>
    <s v="#004/DISP/BDO/ACU/II/2026"/>
    <s v="PEMBELIAN HARDISK"/>
    <m/>
    <m/>
    <m/>
    <s v="P'Bas"/>
    <s v="P'Malv"/>
    <m/>
    <m/>
    <m/>
    <m/>
    <m/>
    <m/>
    <m/>
    <n v="-2"/>
    <n v="-2"/>
    <x v="0"/>
    <x v="1"/>
  </r>
  <r>
    <x v="1"/>
    <x v="8"/>
    <d v="2026-02-24T00:00:00"/>
    <d v="2026-02-24T00:00:00"/>
    <d v="2026-02-23T00:00:00"/>
    <d v="2026-02-25T00:00:00"/>
    <m/>
    <m/>
    <d v="2026-02-25T00:00:00"/>
    <d v="2026-02-25T00:00:00"/>
    <s v="DONE"/>
    <s v="#005/DISP/BDO/ACU/II/2026"/>
    <s v="PEMBELIAN MOBILE DEVICE"/>
    <m/>
    <s v="Rp.   13.600.000,-"/>
    <m/>
    <s v="P'Bas"/>
    <s v="P'Malv"/>
    <m/>
    <m/>
    <m/>
    <m/>
    <m/>
    <m/>
    <m/>
    <n v="-1"/>
    <n v="1"/>
    <x v="0"/>
    <x v="1"/>
  </r>
  <r>
    <x v="1"/>
    <x v="8"/>
    <d v="2026-02-27T00:00:00"/>
    <d v="2026-03-02T00:00:00"/>
    <d v="2026-02-27T00:00:00"/>
    <d v="2026-03-02T00:00:00"/>
    <m/>
    <m/>
    <d v="2026-03-03T00:00:00"/>
    <d v="2026-03-03T00:00:00"/>
    <s v="DONE"/>
    <s v="#006/DISP/BDO/ACU/II/2026"/>
    <s v="PEMBELIAN MOBILE DEVICE &amp; SCANNER WIRELESS"/>
    <m/>
    <s v="Rp.   18.750.000,-"/>
    <m/>
    <s v="P'Bas"/>
    <s v="P'Malv"/>
    <m/>
    <m/>
    <m/>
    <m/>
    <m/>
    <m/>
    <m/>
    <n v="-3"/>
    <n v="0"/>
    <x v="0"/>
    <x v="1"/>
  </r>
  <r>
    <x v="1"/>
    <x v="8"/>
    <d v="2026-03-06T00:00:00"/>
    <d v="2026-03-06T00:00:00"/>
    <d v="2026-03-05T00:00:00"/>
    <d v="2026-03-06T00:00:00"/>
    <m/>
    <m/>
    <d v="2026-03-06T00:00:00"/>
    <d v="2026-03-06T00:00:00"/>
    <s v="DONE"/>
    <s v="#007/DISP/BDO/ACU/III/2026"/>
    <s v="PEMBELIAN PERANGKAT CCTV"/>
    <m/>
    <s v="Rp.  14.000.000"/>
    <m/>
    <s v="P'Bas"/>
    <s v="P'Malv"/>
    <m/>
    <m/>
    <m/>
    <m/>
    <m/>
    <m/>
    <m/>
    <n v="-1"/>
    <n v="0"/>
    <x v="0"/>
    <x v="1"/>
  </r>
  <r>
    <x v="1"/>
    <x v="8"/>
    <d v="2026-03-09T00:00:00"/>
    <d v="2026-03-09T00:00:00"/>
    <d v="2026-03-06T00:00:00"/>
    <d v="2026-03-09T00:00:00"/>
    <m/>
    <m/>
    <d v="2026-03-26T00:00:00"/>
    <d v="2026-03-26T00:00:00"/>
    <s v="DONE"/>
    <s v="#008/DISP/BDO/ACU/III/2026"/>
    <s v="PEMBELIAN MOBILE DEVICE"/>
    <m/>
    <s v="Rp.     7.500.000,-"/>
    <m/>
    <s v="P'Bas"/>
    <s v="P'Malv"/>
    <m/>
    <m/>
    <m/>
    <m/>
    <m/>
    <m/>
    <m/>
    <n v="-3"/>
    <n v="0"/>
    <x v="0"/>
    <x v="1"/>
  </r>
  <r>
    <x v="1"/>
    <x v="8"/>
    <d v="2026-03-09T00:00:00"/>
    <d v="2026-03-09T00:00:00"/>
    <d v="2026-03-06T00:00:00"/>
    <d v="2026-03-09T00:00:00"/>
    <m/>
    <m/>
    <d v="2026-04-06T00:00:00"/>
    <d v="2026-04-06T00:00:00"/>
    <s v="DONE"/>
    <s v="#009/DISP/BDO/ACU/III/2026"/>
    <s v="PEMASANGAN KANOPI AREA PARKIR KANTOR GEDEBAGE"/>
    <m/>
    <s v="Rp. 24.788.250"/>
    <m/>
    <s v="P'Bas"/>
    <s v="P'Malv"/>
    <m/>
    <m/>
    <m/>
    <m/>
    <m/>
    <m/>
    <m/>
    <n v="-3"/>
    <n v="0"/>
    <x v="0"/>
    <x v="1"/>
  </r>
  <r>
    <x v="1"/>
    <x v="8"/>
    <d v="2026-04-06T00:00:00"/>
    <d v="2026-04-07T00:00:00"/>
    <d v="2026-04-06T00:00:00"/>
    <d v="2026-04-15T00:00:00"/>
    <m/>
    <m/>
    <m/>
    <m/>
    <m/>
    <s v="#010/DISP/BDO/ACU/IV/2026"/>
    <s v="PEMBELIAN LAPTOP ACCOUNT EXECUTIVE, IREA UNIT HEAD &amp; TRAFFIC STAFF"/>
    <m/>
    <m/>
    <m/>
    <s v="P'Bas"/>
    <s v="P'Jojo"/>
    <s v="P'Jose"/>
    <m/>
    <m/>
    <m/>
    <m/>
    <m/>
    <m/>
    <n v="-1"/>
    <n v="8"/>
    <x v="0"/>
    <x v="1"/>
  </r>
  <r>
    <x v="1"/>
    <x v="8"/>
    <d v="2026-04-06T00:00:00"/>
    <d v="2026-04-07T00:00:00"/>
    <d v="2026-04-06T00:00:00"/>
    <d v="2026-04-08T00:00:00"/>
    <m/>
    <m/>
    <d v="2026-04-09T00:00:00"/>
    <d v="2026-04-09T00:00:00"/>
    <s v="DONE"/>
    <s v="#011/DISP/BDO/ACU/IV/2026"/>
    <s v="PENGAJUAN PENAMBAHAN BUDGET UNTUK PEMBELIAN ASSET KENDARAAN"/>
    <m/>
    <s v="Rp. 7.000.000"/>
    <m/>
    <s v="P'Bas"/>
    <s v="P'Malv"/>
    <m/>
    <m/>
    <m/>
    <m/>
    <m/>
    <m/>
    <m/>
    <n v="-1"/>
    <n v="1"/>
    <x v="0"/>
    <x v="1"/>
  </r>
  <r>
    <x v="1"/>
    <x v="8"/>
    <d v="2026-04-14T00:00:00"/>
    <d v="2026-04-15T00:00:00"/>
    <d v="2026-04-14T00:00:00"/>
    <d v="2026-04-15T00:00:00"/>
    <m/>
    <m/>
    <m/>
    <m/>
    <m/>
    <s v="#012/DISP/BDO/ACU/IV/2026"/>
    <s v="PEMBELIAN LAPTOP CONTROL TOWER UNIT HEAD &amp; DELIVERY UNIT HEAD"/>
    <m/>
    <s v="Rp 40.470.000,-"/>
    <m/>
    <s v="P'Bas"/>
    <s v="P'Jojo"/>
    <s v="P'Jose"/>
    <m/>
    <m/>
    <m/>
    <m/>
    <m/>
    <m/>
    <n v="-1"/>
    <n v="0"/>
    <x v="0"/>
    <x v="1"/>
  </r>
  <r>
    <x v="1"/>
    <x v="8"/>
    <d v="2026-04-17T00:00:00"/>
    <d v="2026-04-17T00:00:00"/>
    <d v="2026-04-16T00:00:00"/>
    <d v="2026-04-18T00:00:00"/>
    <m/>
    <m/>
    <d v="2026-04-21T00:00:00"/>
    <d v="2026-04-21T00:00:00"/>
    <s v="DONE"/>
    <s v="#013/DISP/BDO/ACU/IV/2026"/>
    <s v="PEMBELIAN SCANNER"/>
    <m/>
    <s v="Rp 4.500.000,-"/>
    <m/>
    <s v="P'Bas"/>
    <s v="P'Indr"/>
    <m/>
    <m/>
    <m/>
    <m/>
    <m/>
    <m/>
    <m/>
    <n v="-1"/>
    <n v="1"/>
    <x v="0"/>
    <x v="1"/>
  </r>
  <r>
    <x v="1"/>
    <x v="8"/>
    <d v="2026-04-29T00:00:00"/>
    <d v="2026-05-04T00:00:00"/>
    <d v="2026-04-30T00:00:00"/>
    <d v="2026-05-04T00:00:00"/>
    <m/>
    <m/>
    <d v="2026-05-04T00:00:00"/>
    <d v="2026-05-04T00:00:00"/>
    <s v="DONE"/>
    <s v="#014/DISP/BDO/ACU/IV/2026"/>
    <s v="PEMBELIAN INFOCUS"/>
    <m/>
    <s v="Rp. 5.000.000"/>
    <m/>
    <s v="P'Bas"/>
    <s v="P'Indr"/>
    <m/>
    <m/>
    <m/>
    <m/>
    <m/>
    <m/>
    <m/>
    <n v="-4"/>
    <n v="0"/>
    <x v="0"/>
    <x v="1"/>
  </r>
  <r>
    <x v="1"/>
    <x v="8"/>
    <d v="2026-04-29T00:00:00"/>
    <d v="2026-05-04T00:00:00"/>
    <d v="2026-04-30T00:00:00"/>
    <d v="2026-05-04T00:00:00"/>
    <m/>
    <m/>
    <d v="2026-05-04T00:00:00"/>
    <d v="2026-05-04T00:00:00"/>
    <s v="DONE"/>
    <s v="#015/DISP/BDO/ACU/IV/2026"/>
    <s v="PEMBELIAN MOBILE DEVICE"/>
    <m/>
    <s v="Rp. 7.500.000,-"/>
    <m/>
    <s v="P'Bas"/>
    <s v="P'Malv"/>
    <m/>
    <m/>
    <m/>
    <m/>
    <m/>
    <m/>
    <m/>
    <n v="-4"/>
    <n v="0"/>
    <x v="0"/>
    <x v="1"/>
  </r>
  <r>
    <x v="1"/>
    <x v="8"/>
    <d v="2026-05-12T00:00:00"/>
    <d v="2026-05-15T00:00:00"/>
    <d v="2026-05-12T00:00:00"/>
    <d v="2026-05-18T00:00:00"/>
    <m/>
    <m/>
    <d v="2026-05-18T00:00:00"/>
    <d v="2026-05-18T00:00:00"/>
    <s v="DONE"/>
    <s v="#016/DISP/BDO/ACU/V/2026"/>
    <s v="PEMBELIAN PERANGKAT CCTV, SWITCH DAN TROLLEY SAMBUNG"/>
    <m/>
    <s v="Rp.     6.710.000,-"/>
    <m/>
    <s v="P'Bas"/>
    <s v="P'Malv"/>
    <m/>
    <m/>
    <m/>
    <m/>
    <m/>
    <m/>
    <m/>
    <n v="-3"/>
    <n v="3"/>
    <x v="0"/>
    <x v="1"/>
  </r>
  <r>
    <x v="1"/>
    <x v="8"/>
    <d v="2026-05-29T00:00:00"/>
    <d v="2026-06-04T00:00:00"/>
    <d v="2026-05-29T00:00:00"/>
    <d v="2026-06-04T00:00:00"/>
    <m/>
    <m/>
    <d v="2026-06-05T00:00:00"/>
    <d v="2026-06-05T00:00:00"/>
    <s v="DONE"/>
    <s v="#017/DISP/BDO/ACU/V/2026"/>
    <s v="PEMBELIAN SCANNER BARCODE"/>
    <m/>
    <s v="Rp. 4.500.000,-"/>
    <m/>
    <s v="P'Bas"/>
    <s v="P'Indr"/>
    <m/>
    <m/>
    <m/>
    <m/>
    <m/>
    <m/>
    <m/>
    <n v="-6"/>
    <n v="0"/>
    <x v="0"/>
    <x v="1"/>
  </r>
  <r>
    <x v="1"/>
    <x v="8"/>
    <d v="2026-05-29T00:00:00"/>
    <d v="2026-06-04T00:00:00"/>
    <d v="2026-05-29T00:00:00"/>
    <d v="2026-06-04T00:00:00"/>
    <m/>
    <m/>
    <d v="2026-06-05T00:00:00"/>
    <d v="2026-06-05T00:00:00"/>
    <s v="DONE"/>
    <s v="#018/DISP/BDO/ACU/V/2026"/>
    <s v="PEMBELIAN PRINTER BARCODE"/>
    <m/>
    <s v="Rp. 1.723.850,-"/>
    <m/>
    <s v="P'Bas"/>
    <s v="P'Indr"/>
    <m/>
    <m/>
    <m/>
    <m/>
    <m/>
    <m/>
    <m/>
    <n v="-6"/>
    <n v="0"/>
    <x v="0"/>
    <x v="1"/>
  </r>
  <r>
    <x v="1"/>
    <x v="8"/>
    <d v="2026-06-04T00:00:00"/>
    <d v="2026-06-04T00:00:00"/>
    <d v="2026-06-03T00:00:00"/>
    <d v="2026-06-04T00:00:00"/>
    <m/>
    <m/>
    <d v="2026-06-04T00:00:00"/>
    <d v="2026-06-04T00:00:00"/>
    <s v="DONE"/>
    <s v="#019/DISP/BDO/ACU/VI/2026"/>
    <s v="PERBAIKAN ROLLING DOOR HUB CIBEREUM"/>
    <m/>
    <s v="Rp. 22.400.000"/>
    <m/>
    <s v="P'Bas"/>
    <s v="P'Malv"/>
    <m/>
    <m/>
    <m/>
    <m/>
    <m/>
    <m/>
    <m/>
    <n v="-1"/>
    <n v="0"/>
    <x v="0"/>
    <x v="1"/>
  </r>
  <r>
    <x v="1"/>
    <x v="8"/>
    <d v="2026-06-15T00:00:00"/>
    <d v="2026-06-15T00:00:00"/>
    <d v="2026-06-12T00:00:00"/>
    <d v="2026-06-15T00:00:00"/>
    <m/>
    <m/>
    <d v="2026-06-15T00:00:00"/>
    <d v="2026-06-15T00:00:00"/>
    <s v="DONE"/>
    <s v="#020/DISP/BDO/ACU/V/2026"/>
    <s v="PEMBELIAN SCANNER BARCODE"/>
    <m/>
    <s v="Rp. 9.000.000"/>
    <m/>
    <s v="P'Bas"/>
    <s v="P'Malv"/>
    <m/>
    <m/>
    <m/>
    <m/>
    <m/>
    <m/>
    <m/>
    <n v="-3"/>
    <n v="0"/>
    <x v="0"/>
    <x v="1"/>
  </r>
  <r>
    <x v="1"/>
    <x v="8"/>
    <d v="2026-06-17T00:00:00"/>
    <d v="2026-06-17T00:00:00"/>
    <d v="2026-06-15T00:00:00"/>
    <m/>
    <m/>
    <m/>
    <m/>
    <m/>
    <m/>
    <s v="#021/DISP/BDO/ACU/VI/2026"/>
    <s v=" PEMBELIAN PRINTER HP LASERJET COLOR"/>
    <m/>
    <s v="Rp. 3.500.000,-"/>
    <m/>
    <s v="P'Bas"/>
    <s v="P'Indr"/>
    <m/>
    <m/>
    <m/>
    <m/>
    <m/>
    <m/>
    <m/>
    <n v="-2"/>
    <n v="-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0DC0D-2A81-4971-B670-52E051DFEA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3" firstDataCol="1" rowPageCount="1" colPageCount="1"/>
  <pivotFields count="29">
    <pivotField axis="axisPage" showAll="0">
      <items count="3">
        <item x="0"/>
        <item x="1"/>
        <item t="default"/>
      </items>
    </pivotField>
    <pivotField axis="axisRow" showAll="0">
      <items count="10">
        <item x="8"/>
        <item x="1"/>
        <item x="4"/>
        <item x="3"/>
        <item x="7"/>
        <item x="2"/>
        <item x="0"/>
        <item x="5"/>
        <item x="6"/>
        <item t="default"/>
      </items>
    </pivotField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0" item="0" hier="-1"/>
  </pageFields>
  <dataFields count="2">
    <dataField name="Count of REFF" fld="11" subtotal="count" baseField="0" baseItem="0"/>
    <dataField name="Count of REFF2" fld="11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AECFD-27E2-46D5-A4CB-BF85678891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7" firstHeaderRow="1" firstDataRow="3" firstDataCol="1" rowPageCount="1" colPageCount="1"/>
  <pivotFields count="29">
    <pivotField axis="axisPage" showAll="0">
      <items count="3">
        <item x="0"/>
        <item x="1"/>
        <item t="default"/>
      </items>
    </pivotField>
    <pivotField axis="axisRow" showAll="0">
      <items count="10">
        <item x="8"/>
        <item x="1"/>
        <item x="4"/>
        <item x="3"/>
        <item x="7"/>
        <item x="2"/>
        <item x="0"/>
        <item x="5"/>
        <item x="6"/>
        <item t="default"/>
      </items>
    </pivotField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2">
    <field x="27"/>
    <field x="-2"/>
  </colFields>
  <colItems count="4">
    <i>
      <x/>
      <x/>
    </i>
    <i r="1" i="1">
      <x v="1"/>
    </i>
    <i t="grand">
      <x/>
    </i>
    <i t="grand" i="1">
      <x/>
    </i>
  </colItems>
  <pageFields count="1">
    <pageField fld="0" item="1" hier="-1"/>
  </pageFields>
  <dataFields count="2">
    <dataField name="Count of REFF" fld="11" subtotal="count" baseField="0" baseItem="0"/>
    <dataField name="Count of REFF2" fld="11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E4941-7941-438E-AEC3-E5E048949F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9:O23" firstHeaderRow="1" firstDataRow="3" firstDataCol="1" rowPageCount="1" colPageCount="1"/>
  <pivotFields count="29">
    <pivotField axis="axisPage" showAll="0">
      <items count="3">
        <item x="0"/>
        <item x="1"/>
        <item t="default"/>
      </items>
    </pivotField>
    <pivotField axis="axisRow" showAll="0">
      <items count="10">
        <item x="8"/>
        <item x="1"/>
        <item x="4"/>
        <item x="3"/>
        <item x="7"/>
        <item x="2"/>
        <item x="0"/>
        <item x="5"/>
        <item x="6"/>
        <item t="default"/>
      </items>
    </pivotField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2">
    <field x="2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0" item="1" hier="-1"/>
  </pageFields>
  <dataFields count="2">
    <dataField name="Count of REFF" fld="11" subtotal="count" baseField="0" baseItem="0"/>
    <dataField name="Count of REFF2" fld="11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3FBAC-7009-4AE4-9394-B1D2219F6C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G31" firstHeaderRow="1" firstDataRow="3" firstDataCol="1" rowPageCount="1" colPageCount="1"/>
  <pivotFields count="29">
    <pivotField axis="axisPage" showAll="0">
      <items count="3">
        <item x="0"/>
        <item x="1"/>
        <item t="default"/>
      </items>
    </pivotField>
    <pivotField axis="axisRow" showAll="0">
      <items count="10">
        <item x="8"/>
        <item x="1"/>
        <item x="4"/>
        <item x="3"/>
        <item x="7"/>
        <item x="2"/>
        <item x="0"/>
        <item x="5"/>
        <item x="6"/>
        <item t="default"/>
      </items>
    </pivotField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0" item="0" hier="-1"/>
  </pageFields>
  <dataFields count="2">
    <dataField name="Count of REFF" fld="11" subtotal="count" baseField="0" baseItem="0"/>
    <dataField name="Count of REFF2" fld="11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E10F-9CB0-4EC1-9881-42E1E15D56EA}">
  <dimension ref="A1:O31"/>
  <sheetViews>
    <sheetView workbookViewId="0">
      <selection activeCell="C31" sqref="C31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14.85546875" bestFit="1" customWidth="1"/>
    <col min="4" max="4" width="13.85546875" bestFit="1" customWidth="1"/>
    <col min="5" max="5" width="14.85546875" bestFit="1" customWidth="1"/>
    <col min="6" max="6" width="18.85546875" bestFit="1" customWidth="1"/>
    <col min="7" max="7" width="19.85546875" bestFit="1" customWidth="1"/>
    <col min="8" max="8" width="18.85546875" bestFit="1" customWidth="1"/>
    <col min="9" max="9" width="17.85546875" bestFit="1" customWidth="1"/>
    <col min="10" max="10" width="16.85546875" bestFit="1" customWidth="1"/>
    <col min="11" max="11" width="14.85546875" bestFit="1" customWidth="1"/>
    <col min="12" max="12" width="13.85546875" bestFit="1" customWidth="1"/>
    <col min="13" max="13" width="14.85546875" bestFit="1" customWidth="1"/>
    <col min="14" max="14" width="18.85546875" bestFit="1" customWidth="1"/>
    <col min="15" max="15" width="19.85546875" bestFit="1" customWidth="1"/>
  </cols>
  <sheetData>
    <row r="1" spans="1:13" x14ac:dyDescent="0.25">
      <c r="A1" s="55" t="s">
        <v>271</v>
      </c>
      <c r="B1" t="s">
        <v>272</v>
      </c>
      <c r="I1" s="55" t="s">
        <v>271</v>
      </c>
      <c r="J1" t="s">
        <v>273</v>
      </c>
    </row>
    <row r="3" spans="1:13" x14ac:dyDescent="0.25">
      <c r="B3" s="55" t="s">
        <v>259</v>
      </c>
      <c r="J3" s="55" t="s">
        <v>259</v>
      </c>
    </row>
    <row r="4" spans="1:13" x14ac:dyDescent="0.25">
      <c r="B4" t="s">
        <v>260</v>
      </c>
      <c r="D4" t="s">
        <v>261</v>
      </c>
      <c r="F4" t="s">
        <v>265</v>
      </c>
      <c r="G4" t="s">
        <v>266</v>
      </c>
      <c r="J4" t="s">
        <v>260</v>
      </c>
      <c r="L4" t="s">
        <v>265</v>
      </c>
      <c r="M4" t="s">
        <v>266</v>
      </c>
    </row>
    <row r="5" spans="1:13" x14ac:dyDescent="0.25">
      <c r="A5" s="55" t="s">
        <v>264</v>
      </c>
      <c r="B5" t="s">
        <v>263</v>
      </c>
      <c r="C5" t="s">
        <v>267</v>
      </c>
      <c r="D5" t="s">
        <v>263</v>
      </c>
      <c r="E5" t="s">
        <v>267</v>
      </c>
      <c r="I5" s="55" t="s">
        <v>264</v>
      </c>
      <c r="J5" t="s">
        <v>263</v>
      </c>
      <c r="K5" t="s">
        <v>267</v>
      </c>
    </row>
    <row r="6" spans="1:13" x14ac:dyDescent="0.25">
      <c r="A6" s="56" t="s">
        <v>137</v>
      </c>
      <c r="B6">
        <v>1</v>
      </c>
      <c r="C6" s="57">
        <v>1</v>
      </c>
      <c r="E6" s="57">
        <v>0</v>
      </c>
      <c r="F6">
        <v>1</v>
      </c>
      <c r="G6" s="57">
        <v>1</v>
      </c>
      <c r="I6" s="56" t="s">
        <v>137</v>
      </c>
      <c r="J6">
        <v>21</v>
      </c>
      <c r="K6" s="57">
        <v>1</v>
      </c>
      <c r="L6">
        <v>21</v>
      </c>
      <c r="M6" s="57">
        <v>1</v>
      </c>
    </row>
    <row r="7" spans="1:13" x14ac:dyDescent="0.25">
      <c r="A7" s="56" t="s">
        <v>25</v>
      </c>
      <c r="B7">
        <v>4</v>
      </c>
      <c r="C7" s="57">
        <v>1</v>
      </c>
      <c r="E7" s="57">
        <v>0</v>
      </c>
      <c r="F7">
        <v>4</v>
      </c>
      <c r="G7" s="57">
        <v>1</v>
      </c>
      <c r="I7" s="56" t="s">
        <v>262</v>
      </c>
      <c r="J7">
        <v>21</v>
      </c>
      <c r="K7" s="57">
        <v>1</v>
      </c>
      <c r="L7">
        <v>21</v>
      </c>
      <c r="M7" s="57">
        <v>1</v>
      </c>
    </row>
    <row r="8" spans="1:13" x14ac:dyDescent="0.25">
      <c r="A8" s="56" t="s">
        <v>60</v>
      </c>
      <c r="B8">
        <v>3</v>
      </c>
      <c r="C8" s="57">
        <v>1</v>
      </c>
      <c r="E8" s="57">
        <v>0</v>
      </c>
      <c r="F8">
        <v>3</v>
      </c>
      <c r="G8" s="57">
        <v>1</v>
      </c>
    </row>
    <row r="9" spans="1:13" x14ac:dyDescent="0.25">
      <c r="A9" s="56" t="s">
        <v>40</v>
      </c>
      <c r="B9">
        <v>28</v>
      </c>
      <c r="C9" s="57">
        <v>0.96551724137931039</v>
      </c>
      <c r="D9">
        <v>1</v>
      </c>
      <c r="E9" s="57">
        <v>3.4482758620689655E-2</v>
      </c>
      <c r="F9">
        <v>29</v>
      </c>
      <c r="G9" s="57">
        <v>1</v>
      </c>
    </row>
    <row r="10" spans="1:13" x14ac:dyDescent="0.25">
      <c r="A10" s="56" t="s">
        <v>116</v>
      </c>
      <c r="B10">
        <v>2</v>
      </c>
      <c r="C10" s="57">
        <v>1</v>
      </c>
      <c r="E10" s="57">
        <v>0</v>
      </c>
      <c r="F10">
        <v>2</v>
      </c>
      <c r="G10" s="57">
        <v>1</v>
      </c>
    </row>
    <row r="11" spans="1:13" x14ac:dyDescent="0.25">
      <c r="A11" s="56" t="s">
        <v>24</v>
      </c>
      <c r="B11">
        <v>17</v>
      </c>
      <c r="C11" s="57">
        <v>1</v>
      </c>
      <c r="E11" s="57">
        <v>0</v>
      </c>
      <c r="F11">
        <v>17</v>
      </c>
      <c r="G11" s="57">
        <v>1</v>
      </c>
    </row>
    <row r="12" spans="1:13" x14ac:dyDescent="0.25">
      <c r="A12" s="56" t="s">
        <v>15</v>
      </c>
      <c r="B12">
        <v>15</v>
      </c>
      <c r="C12" s="57">
        <v>0.9375</v>
      </c>
      <c r="D12">
        <v>1</v>
      </c>
      <c r="E12" s="57">
        <v>6.25E-2</v>
      </c>
      <c r="F12">
        <v>16</v>
      </c>
      <c r="G12" s="57">
        <v>1</v>
      </c>
    </row>
    <row r="13" spans="1:13" x14ac:dyDescent="0.25">
      <c r="A13" s="56" t="s">
        <v>102</v>
      </c>
      <c r="B13">
        <v>1</v>
      </c>
      <c r="C13" s="57">
        <v>1</v>
      </c>
      <c r="E13" s="57">
        <v>0</v>
      </c>
      <c r="F13">
        <v>1</v>
      </c>
      <c r="G13" s="57">
        <v>1</v>
      </c>
    </row>
    <row r="14" spans="1:13" x14ac:dyDescent="0.25">
      <c r="A14" s="56" t="s">
        <v>107</v>
      </c>
      <c r="B14">
        <v>3</v>
      </c>
      <c r="C14" s="57">
        <v>1</v>
      </c>
      <c r="E14" s="57">
        <v>0</v>
      </c>
      <c r="F14">
        <v>3</v>
      </c>
      <c r="G14" s="57">
        <v>1</v>
      </c>
    </row>
    <row r="15" spans="1:13" x14ac:dyDescent="0.25">
      <c r="A15" s="56" t="s">
        <v>262</v>
      </c>
      <c r="B15">
        <v>74</v>
      </c>
      <c r="C15" s="57">
        <v>0.97368421052631582</v>
      </c>
      <c r="D15">
        <v>2</v>
      </c>
      <c r="E15" s="57">
        <v>2.6315789473684209E-2</v>
      </c>
      <c r="F15">
        <v>76</v>
      </c>
      <c r="G15" s="57">
        <v>1</v>
      </c>
    </row>
    <row r="17" spans="1:15" x14ac:dyDescent="0.25">
      <c r="A17" s="55" t="s">
        <v>271</v>
      </c>
      <c r="B17" t="s">
        <v>272</v>
      </c>
      <c r="I17" s="55" t="s">
        <v>271</v>
      </c>
      <c r="J17" t="s">
        <v>273</v>
      </c>
    </row>
    <row r="19" spans="1:15" x14ac:dyDescent="0.25">
      <c r="B19" s="55" t="s">
        <v>259</v>
      </c>
      <c r="J19" s="55" t="s">
        <v>259</v>
      </c>
    </row>
    <row r="20" spans="1:15" x14ac:dyDescent="0.25">
      <c r="B20" t="s">
        <v>260</v>
      </c>
      <c r="D20" t="s">
        <v>261</v>
      </c>
      <c r="F20" t="s">
        <v>265</v>
      </c>
      <c r="G20" t="s">
        <v>266</v>
      </c>
      <c r="J20" t="s">
        <v>260</v>
      </c>
      <c r="L20" t="s">
        <v>261</v>
      </c>
      <c r="N20" t="s">
        <v>265</v>
      </c>
      <c r="O20" t="s">
        <v>266</v>
      </c>
    </row>
    <row r="21" spans="1:15" x14ac:dyDescent="0.25">
      <c r="A21" s="55" t="s">
        <v>264</v>
      </c>
      <c r="B21" t="s">
        <v>263</v>
      </c>
      <c r="C21" t="s">
        <v>267</v>
      </c>
      <c r="D21" t="s">
        <v>263</v>
      </c>
      <c r="E21" t="s">
        <v>267</v>
      </c>
      <c r="I21" s="55" t="s">
        <v>264</v>
      </c>
      <c r="J21" t="s">
        <v>263</v>
      </c>
      <c r="K21" t="s">
        <v>267</v>
      </c>
      <c r="L21" t="s">
        <v>263</v>
      </c>
      <c r="M21" t="s">
        <v>267</v>
      </c>
    </row>
    <row r="22" spans="1:15" x14ac:dyDescent="0.25">
      <c r="A22" s="56" t="s">
        <v>137</v>
      </c>
      <c r="B22">
        <v>1</v>
      </c>
      <c r="C22" s="57">
        <v>1</v>
      </c>
      <c r="E22" s="57">
        <v>0</v>
      </c>
      <c r="F22">
        <v>1</v>
      </c>
      <c r="G22" s="57">
        <v>1</v>
      </c>
      <c r="I22" s="56" t="s">
        <v>137</v>
      </c>
      <c r="J22">
        <v>19</v>
      </c>
      <c r="K22" s="57">
        <v>0.90476190476190477</v>
      </c>
      <c r="L22">
        <v>2</v>
      </c>
      <c r="M22" s="57">
        <v>9.5238095238095233E-2</v>
      </c>
      <c r="N22">
        <v>21</v>
      </c>
      <c r="O22" s="57">
        <v>1</v>
      </c>
    </row>
    <row r="23" spans="1:15" x14ac:dyDescent="0.25">
      <c r="A23" s="56" t="s">
        <v>25</v>
      </c>
      <c r="B23">
        <v>3</v>
      </c>
      <c r="C23" s="57">
        <v>0.75</v>
      </c>
      <c r="D23">
        <v>1</v>
      </c>
      <c r="E23" s="57">
        <v>0.25</v>
      </c>
      <c r="F23">
        <v>4</v>
      </c>
      <c r="G23" s="57">
        <v>1</v>
      </c>
      <c r="I23" s="56" t="s">
        <v>262</v>
      </c>
      <c r="J23">
        <v>19</v>
      </c>
      <c r="K23" s="57">
        <v>0.90476190476190477</v>
      </c>
      <c r="L23">
        <v>2</v>
      </c>
      <c r="M23" s="57">
        <v>9.5238095238095233E-2</v>
      </c>
      <c r="N23">
        <v>21</v>
      </c>
      <c r="O23" s="57">
        <v>1</v>
      </c>
    </row>
    <row r="24" spans="1:15" x14ac:dyDescent="0.25">
      <c r="A24" s="56" t="s">
        <v>60</v>
      </c>
      <c r="B24">
        <v>2</v>
      </c>
      <c r="C24" s="57">
        <v>0.66666666666666663</v>
      </c>
      <c r="D24">
        <v>1</v>
      </c>
      <c r="E24" s="57">
        <v>0.33333333333333331</v>
      </c>
      <c r="F24">
        <v>3</v>
      </c>
      <c r="G24" s="57">
        <v>1</v>
      </c>
    </row>
    <row r="25" spans="1:15" x14ac:dyDescent="0.25">
      <c r="A25" s="56" t="s">
        <v>40</v>
      </c>
      <c r="B25">
        <v>29</v>
      </c>
      <c r="C25" s="57">
        <v>1</v>
      </c>
      <c r="E25" s="57">
        <v>0</v>
      </c>
      <c r="F25">
        <v>29</v>
      </c>
      <c r="G25" s="57">
        <v>1</v>
      </c>
    </row>
    <row r="26" spans="1:15" x14ac:dyDescent="0.25">
      <c r="A26" s="56" t="s">
        <v>116</v>
      </c>
      <c r="B26">
        <v>2</v>
      </c>
      <c r="C26" s="57">
        <v>1</v>
      </c>
      <c r="E26" s="57">
        <v>0</v>
      </c>
      <c r="F26">
        <v>2</v>
      </c>
      <c r="G26" s="57">
        <v>1</v>
      </c>
    </row>
    <row r="27" spans="1:15" x14ac:dyDescent="0.25">
      <c r="A27" s="56" t="s">
        <v>24</v>
      </c>
      <c r="B27">
        <v>15</v>
      </c>
      <c r="C27" s="57">
        <v>0.88235294117647056</v>
      </c>
      <c r="D27">
        <v>2</v>
      </c>
      <c r="E27" s="57">
        <v>0.11764705882352941</v>
      </c>
      <c r="F27">
        <v>17</v>
      </c>
      <c r="G27" s="57">
        <v>1</v>
      </c>
    </row>
    <row r="28" spans="1:15" x14ac:dyDescent="0.25">
      <c r="A28" s="56" t="s">
        <v>15</v>
      </c>
      <c r="B28">
        <v>12</v>
      </c>
      <c r="C28" s="57">
        <v>0.75</v>
      </c>
      <c r="D28">
        <v>4</v>
      </c>
      <c r="E28" s="57">
        <v>0.25</v>
      </c>
      <c r="F28">
        <v>16</v>
      </c>
      <c r="G28" s="57">
        <v>1</v>
      </c>
    </row>
    <row r="29" spans="1:15" x14ac:dyDescent="0.25">
      <c r="A29" s="56" t="s">
        <v>102</v>
      </c>
      <c r="B29">
        <v>1</v>
      </c>
      <c r="C29" s="57">
        <v>1</v>
      </c>
      <c r="E29" s="57">
        <v>0</v>
      </c>
      <c r="F29">
        <v>1</v>
      </c>
      <c r="G29" s="57">
        <v>1</v>
      </c>
    </row>
    <row r="30" spans="1:15" x14ac:dyDescent="0.25">
      <c r="A30" s="56" t="s">
        <v>107</v>
      </c>
      <c r="B30">
        <v>2</v>
      </c>
      <c r="C30" s="57">
        <v>0.66666666666666663</v>
      </c>
      <c r="D30">
        <v>1</v>
      </c>
      <c r="E30" s="57">
        <v>0.33333333333333331</v>
      </c>
      <c r="F30">
        <v>3</v>
      </c>
      <c r="G30" s="57">
        <v>1</v>
      </c>
    </row>
    <row r="31" spans="1:15" x14ac:dyDescent="0.25">
      <c r="A31" s="56" t="s">
        <v>262</v>
      </c>
      <c r="B31">
        <v>67</v>
      </c>
      <c r="C31" s="57">
        <v>0.88157894736842102</v>
      </c>
      <c r="D31">
        <v>9</v>
      </c>
      <c r="E31" s="57">
        <v>0.11842105263157894</v>
      </c>
      <c r="F31">
        <v>76</v>
      </c>
      <c r="G31" s="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ADDE-DED9-484D-B29F-0B0292E12A79}">
  <dimension ref="A1:AC217"/>
  <sheetViews>
    <sheetView tabSelected="1" topLeftCell="L130" zoomScale="91" zoomScaleNormal="100" workbookViewId="0">
      <selection activeCell="M140" sqref="M140"/>
    </sheetView>
  </sheetViews>
  <sheetFormatPr defaultRowHeight="15" x14ac:dyDescent="0.25"/>
  <cols>
    <col min="1" max="2" width="10.28515625" bestFit="1" customWidth="1"/>
    <col min="3" max="3" width="15.85546875" customWidth="1"/>
    <col min="4" max="4" width="13.5703125" customWidth="1"/>
    <col min="5" max="8" width="15" customWidth="1"/>
    <col min="9" max="9" width="13.85546875" customWidth="1"/>
    <col min="10" max="10" width="16" customWidth="1"/>
    <col min="11" max="11" width="11.7109375" customWidth="1"/>
    <col min="12" max="12" width="25.7109375" customWidth="1"/>
    <col min="13" max="13" width="101.28515625" customWidth="1"/>
    <col min="15" max="15" width="15.140625" bestFit="1" customWidth="1"/>
    <col min="16" max="16" width="18.85546875" customWidth="1"/>
    <col min="17" max="17" width="6.42578125" bestFit="1" customWidth="1"/>
    <col min="18" max="18" width="6.42578125" customWidth="1"/>
    <col min="19" max="20" width="6.7109375" bestFit="1" customWidth="1"/>
    <col min="21" max="25" width="5.7109375" customWidth="1"/>
  </cols>
  <sheetData>
    <row r="1" spans="1:29" ht="18.75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9" ht="15" customHeight="1" x14ac:dyDescent="0.25">
      <c r="A3" s="50" t="s">
        <v>0</v>
      </c>
      <c r="B3" s="50" t="s">
        <v>1</v>
      </c>
      <c r="C3" s="2" t="s">
        <v>2</v>
      </c>
      <c r="D3" s="3" t="s">
        <v>2</v>
      </c>
      <c r="E3" s="51" t="s">
        <v>3</v>
      </c>
      <c r="F3" s="52" t="s">
        <v>248</v>
      </c>
      <c r="G3" s="52" t="s">
        <v>249</v>
      </c>
      <c r="H3" s="52" t="s">
        <v>250</v>
      </c>
      <c r="I3" s="2" t="s">
        <v>4</v>
      </c>
      <c r="J3" s="2" t="s">
        <v>4</v>
      </c>
      <c r="K3" s="50" t="s">
        <v>5</v>
      </c>
      <c r="L3" s="50" t="s">
        <v>6</v>
      </c>
      <c r="M3" s="50" t="s">
        <v>7</v>
      </c>
      <c r="N3" s="50" t="s">
        <v>8</v>
      </c>
      <c r="O3" s="50" t="s">
        <v>9</v>
      </c>
      <c r="P3" s="50" t="s">
        <v>10</v>
      </c>
      <c r="Q3" s="78" t="s">
        <v>11</v>
      </c>
      <c r="R3" s="78"/>
      <c r="S3" s="78"/>
      <c r="T3" s="78"/>
      <c r="U3" s="78"/>
      <c r="V3" s="78"/>
      <c r="W3" s="78"/>
      <c r="X3" s="78"/>
      <c r="Y3" s="78"/>
    </row>
    <row r="4" spans="1:29" ht="30" x14ac:dyDescent="0.25">
      <c r="A4" s="50" t="s">
        <v>271</v>
      </c>
      <c r="B4" s="50" t="s">
        <v>1</v>
      </c>
      <c r="C4" s="2" t="s">
        <v>269</v>
      </c>
      <c r="D4" s="62" t="s">
        <v>270</v>
      </c>
      <c r="E4" s="51" t="s">
        <v>3</v>
      </c>
      <c r="F4" s="52" t="s">
        <v>248</v>
      </c>
      <c r="G4" s="52" t="s">
        <v>249</v>
      </c>
      <c r="H4" s="52" t="s">
        <v>250</v>
      </c>
      <c r="I4" s="2" t="s">
        <v>283</v>
      </c>
      <c r="J4" s="2" t="s">
        <v>284</v>
      </c>
      <c r="K4" s="50" t="s">
        <v>5</v>
      </c>
      <c r="L4" s="50" t="s">
        <v>6</v>
      </c>
      <c r="M4" s="50" t="s">
        <v>7</v>
      </c>
      <c r="N4" s="50" t="s">
        <v>8</v>
      </c>
      <c r="O4" s="50" t="s">
        <v>9</v>
      </c>
      <c r="P4" s="50" t="s">
        <v>10</v>
      </c>
      <c r="Q4" s="4">
        <v>1</v>
      </c>
      <c r="R4" s="4">
        <v>2</v>
      </c>
      <c r="S4" s="4">
        <v>3</v>
      </c>
      <c r="T4" s="4">
        <v>4</v>
      </c>
      <c r="U4" s="4">
        <v>5</v>
      </c>
      <c r="V4" s="4">
        <v>6</v>
      </c>
      <c r="W4" s="4">
        <v>7</v>
      </c>
      <c r="X4" s="4">
        <v>8</v>
      </c>
      <c r="Y4" s="4">
        <v>9</v>
      </c>
      <c r="Z4" s="53" t="s">
        <v>3</v>
      </c>
      <c r="AA4" s="54" t="s">
        <v>256</v>
      </c>
      <c r="AB4" t="s">
        <v>257</v>
      </c>
      <c r="AC4" t="s">
        <v>258</v>
      </c>
    </row>
    <row r="5" spans="1:29" x14ac:dyDescent="0.25">
      <c r="A5" s="19" t="s">
        <v>272</v>
      </c>
      <c r="B5" s="19" t="s">
        <v>15</v>
      </c>
      <c r="C5" s="20">
        <v>46028</v>
      </c>
      <c r="D5" s="20">
        <v>46029</v>
      </c>
      <c r="E5" s="20">
        <v>46029</v>
      </c>
      <c r="F5" s="20">
        <v>46042</v>
      </c>
      <c r="G5" s="20"/>
      <c r="H5" s="20"/>
      <c r="I5" s="20">
        <v>46042</v>
      </c>
      <c r="J5" s="20">
        <v>46042</v>
      </c>
      <c r="K5" s="21" t="s">
        <v>23</v>
      </c>
      <c r="L5" s="21" t="s">
        <v>30</v>
      </c>
      <c r="M5" s="22" t="s">
        <v>32</v>
      </c>
      <c r="N5" s="21"/>
      <c r="O5" s="23"/>
      <c r="P5" s="21"/>
      <c r="Q5" s="24" t="s">
        <v>16</v>
      </c>
      <c r="R5" s="24" t="s">
        <v>26</v>
      </c>
      <c r="S5" s="8"/>
      <c r="T5" s="8"/>
      <c r="U5" s="5"/>
      <c r="V5" s="5"/>
      <c r="W5" s="6"/>
      <c r="X5" s="6"/>
      <c r="Y5" s="6"/>
      <c r="Z5">
        <f>E5-D5</f>
        <v>0</v>
      </c>
      <c r="AA5">
        <f>IF(H5&lt;&gt;"",H5-D5,IF(G5&lt;&gt;"",G5-D5,IF(F5&lt;&gt;"",F5-D5,E5-D5)))</f>
        <v>13</v>
      </c>
      <c r="AB5" t="str">
        <f>IF(Z5&lt;=3,"achive","tidak achive")</f>
        <v>achive</v>
      </c>
      <c r="AC5" t="str">
        <f>IF(AA5&lt;=10,"achive","tidak achive")</f>
        <v>tidak achive</v>
      </c>
    </row>
    <row r="6" spans="1:29" x14ac:dyDescent="0.25">
      <c r="A6" s="19" t="s">
        <v>272</v>
      </c>
      <c r="B6" s="19" t="s">
        <v>15</v>
      </c>
      <c r="C6" s="20">
        <v>46028</v>
      </c>
      <c r="D6" s="20">
        <v>46029</v>
      </c>
      <c r="E6" s="20">
        <v>46029</v>
      </c>
      <c r="F6" s="20">
        <v>46031</v>
      </c>
      <c r="G6" s="20"/>
      <c r="H6" s="20"/>
      <c r="I6" s="20">
        <v>46034</v>
      </c>
      <c r="J6" s="20">
        <v>46034</v>
      </c>
      <c r="K6" s="21" t="s">
        <v>23</v>
      </c>
      <c r="L6" s="21" t="s">
        <v>31</v>
      </c>
      <c r="M6" s="22" t="s">
        <v>33</v>
      </c>
      <c r="N6" s="21"/>
      <c r="O6" s="23"/>
      <c r="P6" s="21"/>
      <c r="Q6" s="24" t="s">
        <v>16</v>
      </c>
      <c r="R6" s="24" t="s">
        <v>26</v>
      </c>
      <c r="S6" s="25" t="s">
        <v>14</v>
      </c>
      <c r="T6" s="8"/>
      <c r="U6" s="5"/>
      <c r="V6" s="5"/>
      <c r="W6" s="6"/>
      <c r="X6" s="6"/>
      <c r="Y6" s="6"/>
      <c r="Z6">
        <f t="shared" ref="Z6:Z69" si="0">E6-D6</f>
        <v>0</v>
      </c>
      <c r="AA6">
        <f t="shared" ref="AA6:AA69" si="1">IF(H6&lt;&gt;"",H6-D6,IF(G6&lt;&gt;"",G6-D6,IF(F6&lt;&gt;"",F6-D6,E6-D6)))</f>
        <v>2</v>
      </c>
      <c r="AB6" t="str">
        <f t="shared" ref="AB6:AB69" si="2">IF(Z6&lt;=3,"achive","tidak achive")</f>
        <v>achive</v>
      </c>
      <c r="AC6" t="str">
        <f t="shared" ref="AC6:AC69" si="3">IF(AA6&lt;=10,"achive","tidak achive")</f>
        <v>achive</v>
      </c>
    </row>
    <row r="7" spans="1:29" x14ac:dyDescent="0.25">
      <c r="A7" s="19" t="s">
        <v>272</v>
      </c>
      <c r="B7" s="19" t="s">
        <v>15</v>
      </c>
      <c r="C7" s="20">
        <v>46029</v>
      </c>
      <c r="D7" s="20">
        <v>46029</v>
      </c>
      <c r="E7" s="20">
        <v>46030</v>
      </c>
      <c r="F7" s="20"/>
      <c r="G7" s="20"/>
      <c r="H7" s="20"/>
      <c r="I7" s="20">
        <v>46030</v>
      </c>
      <c r="J7" s="20">
        <v>46030</v>
      </c>
      <c r="K7" s="21" t="s">
        <v>23</v>
      </c>
      <c r="L7" s="21" t="s">
        <v>34</v>
      </c>
      <c r="M7" s="22" t="s">
        <v>36</v>
      </c>
      <c r="N7" s="21"/>
      <c r="O7" s="23"/>
      <c r="P7" s="21"/>
      <c r="Q7" s="18"/>
      <c r="R7" s="18"/>
      <c r="S7" s="8"/>
      <c r="T7" s="8"/>
      <c r="U7" s="5"/>
      <c r="V7" s="5"/>
      <c r="W7" s="6"/>
      <c r="X7" s="6"/>
      <c r="Y7" s="6"/>
      <c r="Z7">
        <f t="shared" si="0"/>
        <v>1</v>
      </c>
      <c r="AA7">
        <f t="shared" si="1"/>
        <v>1</v>
      </c>
      <c r="AB7" t="str">
        <f t="shared" si="2"/>
        <v>achive</v>
      </c>
      <c r="AC7" t="str">
        <f t="shared" si="3"/>
        <v>achive</v>
      </c>
    </row>
    <row r="8" spans="1:29" x14ac:dyDescent="0.25">
      <c r="A8" s="19" t="s">
        <v>272</v>
      </c>
      <c r="B8" s="19" t="s">
        <v>25</v>
      </c>
      <c r="C8" s="20">
        <v>46029</v>
      </c>
      <c r="D8" s="20">
        <v>46029</v>
      </c>
      <c r="E8" s="20">
        <v>46030</v>
      </c>
      <c r="F8" s="20">
        <v>46043</v>
      </c>
      <c r="G8" s="20"/>
      <c r="H8" s="20"/>
      <c r="I8" s="20">
        <v>46043</v>
      </c>
      <c r="J8" s="20">
        <v>46043</v>
      </c>
      <c r="K8" s="21" t="s">
        <v>23</v>
      </c>
      <c r="L8" s="21" t="s">
        <v>35</v>
      </c>
      <c r="M8" s="22" t="s">
        <v>28</v>
      </c>
      <c r="N8" s="21"/>
      <c r="O8" s="23"/>
      <c r="P8" s="21"/>
      <c r="Q8" s="24" t="s">
        <v>16</v>
      </c>
      <c r="R8" s="24" t="s">
        <v>26</v>
      </c>
      <c r="S8" s="8"/>
      <c r="T8" s="8"/>
      <c r="U8" s="5"/>
      <c r="V8" s="5"/>
      <c r="W8" s="6"/>
      <c r="X8" s="6"/>
      <c r="Y8" s="6"/>
      <c r="Z8">
        <f t="shared" si="0"/>
        <v>1</v>
      </c>
      <c r="AA8">
        <f t="shared" si="1"/>
        <v>14</v>
      </c>
      <c r="AB8" t="str">
        <f t="shared" si="2"/>
        <v>achive</v>
      </c>
      <c r="AC8" t="str">
        <f t="shared" si="3"/>
        <v>tidak achive</v>
      </c>
    </row>
    <row r="9" spans="1:29" x14ac:dyDescent="0.25">
      <c r="A9" s="19" t="s">
        <v>272</v>
      </c>
      <c r="B9" s="19" t="s">
        <v>24</v>
      </c>
      <c r="C9" s="20">
        <v>46031</v>
      </c>
      <c r="D9" s="20">
        <v>46031</v>
      </c>
      <c r="E9" s="20">
        <v>46031</v>
      </c>
      <c r="F9" s="20">
        <v>46034</v>
      </c>
      <c r="G9" s="20">
        <v>46041</v>
      </c>
      <c r="H9" s="20"/>
      <c r="I9" s="20">
        <v>46041</v>
      </c>
      <c r="J9" s="20">
        <v>46041</v>
      </c>
      <c r="K9" s="21" t="s">
        <v>23</v>
      </c>
      <c r="L9" s="21" t="s">
        <v>37</v>
      </c>
      <c r="M9" s="22" t="s">
        <v>29</v>
      </c>
      <c r="N9" s="21"/>
      <c r="O9" s="23"/>
      <c r="P9" s="21"/>
      <c r="Q9" s="11" t="s">
        <v>26</v>
      </c>
      <c r="R9" s="11" t="s">
        <v>22</v>
      </c>
      <c r="S9" s="8"/>
      <c r="T9" s="8"/>
      <c r="U9" s="5"/>
      <c r="V9" s="5"/>
      <c r="W9" s="6"/>
      <c r="X9" s="6"/>
      <c r="Y9" s="6"/>
      <c r="Z9">
        <f t="shared" si="0"/>
        <v>0</v>
      </c>
      <c r="AA9">
        <f t="shared" si="1"/>
        <v>10</v>
      </c>
      <c r="AB9" t="str">
        <f t="shared" si="2"/>
        <v>achive</v>
      </c>
      <c r="AC9" t="str">
        <f t="shared" si="3"/>
        <v>achive</v>
      </c>
    </row>
    <row r="10" spans="1:29" x14ac:dyDescent="0.25">
      <c r="A10" s="19" t="s">
        <v>272</v>
      </c>
      <c r="B10" s="19" t="s">
        <v>40</v>
      </c>
      <c r="C10" s="20">
        <v>46030</v>
      </c>
      <c r="D10" s="20">
        <v>46031</v>
      </c>
      <c r="E10" s="20">
        <v>46031</v>
      </c>
      <c r="F10" s="20">
        <v>46034</v>
      </c>
      <c r="G10" s="20"/>
      <c r="H10" s="20"/>
      <c r="I10" s="20">
        <v>46041</v>
      </c>
      <c r="J10" s="20">
        <v>46041</v>
      </c>
      <c r="K10" s="21" t="s">
        <v>23</v>
      </c>
      <c r="L10" s="21" t="s">
        <v>38</v>
      </c>
      <c r="M10" s="22" t="s">
        <v>41</v>
      </c>
      <c r="N10" s="21"/>
      <c r="O10" s="23"/>
      <c r="P10" s="21"/>
      <c r="Q10" s="11" t="s">
        <v>26</v>
      </c>
      <c r="R10" s="24" t="s">
        <v>42</v>
      </c>
      <c r="S10" s="8"/>
      <c r="T10" s="8"/>
      <c r="U10" s="5"/>
      <c r="V10" s="5"/>
      <c r="W10" s="6"/>
      <c r="X10" s="6"/>
      <c r="Y10" s="6"/>
      <c r="Z10">
        <f t="shared" si="0"/>
        <v>0</v>
      </c>
      <c r="AA10">
        <f t="shared" si="1"/>
        <v>3</v>
      </c>
      <c r="AB10" t="str">
        <f t="shared" si="2"/>
        <v>achive</v>
      </c>
      <c r="AC10" t="str">
        <f t="shared" si="3"/>
        <v>achive</v>
      </c>
    </row>
    <row r="11" spans="1:29" x14ac:dyDescent="0.25">
      <c r="A11" s="19" t="s">
        <v>272</v>
      </c>
      <c r="B11" s="19" t="s">
        <v>40</v>
      </c>
      <c r="C11" s="20">
        <v>46030</v>
      </c>
      <c r="D11" s="20">
        <v>46031</v>
      </c>
      <c r="E11" s="20">
        <v>46031</v>
      </c>
      <c r="F11" s="20">
        <v>46034</v>
      </c>
      <c r="G11" s="20"/>
      <c r="H11" s="20"/>
      <c r="I11" s="20">
        <v>46034</v>
      </c>
      <c r="J11" s="20">
        <v>46034</v>
      </c>
      <c r="K11" s="21" t="s">
        <v>23</v>
      </c>
      <c r="L11" s="21" t="s">
        <v>39</v>
      </c>
      <c r="M11" s="22" t="s">
        <v>45</v>
      </c>
      <c r="N11" s="21"/>
      <c r="O11" s="23"/>
      <c r="P11" s="21"/>
      <c r="Q11" s="24" t="s">
        <v>26</v>
      </c>
      <c r="R11" s="25" t="s">
        <v>14</v>
      </c>
      <c r="S11" s="8"/>
      <c r="T11" s="8"/>
      <c r="U11" s="5"/>
      <c r="V11" s="5"/>
      <c r="W11" s="6"/>
      <c r="X11" s="6"/>
      <c r="Y11" s="6"/>
      <c r="Z11">
        <f t="shared" si="0"/>
        <v>0</v>
      </c>
      <c r="AA11">
        <f t="shared" si="1"/>
        <v>3</v>
      </c>
      <c r="AB11" t="str">
        <f t="shared" si="2"/>
        <v>achive</v>
      </c>
      <c r="AC11" t="str">
        <f t="shared" si="3"/>
        <v>achive</v>
      </c>
    </row>
    <row r="12" spans="1:29" x14ac:dyDescent="0.25">
      <c r="A12" s="19" t="s">
        <v>272</v>
      </c>
      <c r="B12" s="19" t="s">
        <v>60</v>
      </c>
      <c r="C12" s="20">
        <v>46031</v>
      </c>
      <c r="D12" s="20">
        <v>46031</v>
      </c>
      <c r="E12" s="20">
        <v>46031</v>
      </c>
      <c r="F12" s="20"/>
      <c r="G12" s="20"/>
      <c r="H12" s="20"/>
      <c r="I12" s="20">
        <v>46031</v>
      </c>
      <c r="J12" s="20">
        <v>46031</v>
      </c>
      <c r="K12" s="21" t="s">
        <v>23</v>
      </c>
      <c r="L12" s="21" t="s">
        <v>43</v>
      </c>
      <c r="M12" s="22" t="s">
        <v>44</v>
      </c>
      <c r="N12" s="21"/>
      <c r="O12" s="23"/>
      <c r="P12" s="21"/>
      <c r="Q12" s="18"/>
      <c r="R12" s="18"/>
      <c r="S12" s="8"/>
      <c r="T12" s="8"/>
      <c r="U12" s="5"/>
      <c r="V12" s="5"/>
      <c r="W12" s="6"/>
      <c r="X12" s="6"/>
      <c r="Y12" s="6"/>
      <c r="Z12">
        <f t="shared" si="0"/>
        <v>0</v>
      </c>
      <c r="AA12">
        <f t="shared" si="1"/>
        <v>0</v>
      </c>
      <c r="AB12" t="str">
        <f t="shared" si="2"/>
        <v>achive</v>
      </c>
      <c r="AC12" t="str">
        <f t="shared" si="3"/>
        <v>achive</v>
      </c>
    </row>
    <row r="13" spans="1:29" x14ac:dyDescent="0.25">
      <c r="A13" s="19" t="s">
        <v>272</v>
      </c>
      <c r="B13" s="19" t="s">
        <v>25</v>
      </c>
      <c r="C13" s="20">
        <v>46044</v>
      </c>
      <c r="D13" s="20">
        <v>46044</v>
      </c>
      <c r="E13" s="20">
        <v>46044</v>
      </c>
      <c r="F13" s="20">
        <v>46044</v>
      </c>
      <c r="G13" s="20"/>
      <c r="H13" s="20"/>
      <c r="I13" s="20">
        <v>46044</v>
      </c>
      <c r="J13" s="20">
        <v>46044</v>
      </c>
      <c r="K13" s="21" t="s">
        <v>23</v>
      </c>
      <c r="L13" s="21" t="s">
        <v>46</v>
      </c>
      <c r="M13" s="22" t="s">
        <v>47</v>
      </c>
      <c r="N13" s="21"/>
      <c r="O13" s="23"/>
      <c r="P13" s="21"/>
      <c r="Q13" s="24" t="s">
        <v>16</v>
      </c>
      <c r="R13" s="24" t="s">
        <v>26</v>
      </c>
      <c r="S13" s="8"/>
      <c r="T13" s="8"/>
      <c r="U13" s="5"/>
      <c r="V13" s="5"/>
      <c r="W13" s="6"/>
      <c r="X13" s="6"/>
      <c r="Y13" s="6"/>
      <c r="Z13">
        <f t="shared" si="0"/>
        <v>0</v>
      </c>
      <c r="AA13">
        <f t="shared" si="1"/>
        <v>0</v>
      </c>
      <c r="AB13" t="str">
        <f t="shared" si="2"/>
        <v>achive</v>
      </c>
      <c r="AC13" t="str">
        <f t="shared" si="3"/>
        <v>achive</v>
      </c>
    </row>
    <row r="14" spans="1:29" x14ac:dyDescent="0.25">
      <c r="A14" s="19" t="s">
        <v>272</v>
      </c>
      <c r="B14" s="19" t="s">
        <v>15</v>
      </c>
      <c r="C14" s="20">
        <v>46052</v>
      </c>
      <c r="D14" s="20">
        <v>46052</v>
      </c>
      <c r="E14" s="20">
        <v>46052</v>
      </c>
      <c r="F14" s="20">
        <v>46056</v>
      </c>
      <c r="G14" s="20"/>
      <c r="H14" s="20"/>
      <c r="I14" s="20">
        <v>46056</v>
      </c>
      <c r="J14" s="20">
        <v>46056</v>
      </c>
      <c r="K14" s="21" t="s">
        <v>23</v>
      </c>
      <c r="L14" s="21" t="s">
        <v>56</v>
      </c>
      <c r="M14" s="22" t="s">
        <v>58</v>
      </c>
      <c r="N14" s="21"/>
      <c r="O14" s="23"/>
      <c r="P14" s="21"/>
      <c r="Q14" s="24" t="s">
        <v>16</v>
      </c>
      <c r="R14" s="24" t="s">
        <v>26</v>
      </c>
      <c r="S14" s="8"/>
      <c r="T14" s="8"/>
      <c r="U14" s="5"/>
      <c r="V14" s="5"/>
      <c r="W14" s="6"/>
      <c r="X14" s="6"/>
      <c r="Y14" s="6"/>
      <c r="Z14">
        <f t="shared" si="0"/>
        <v>0</v>
      </c>
      <c r="AA14">
        <f t="shared" si="1"/>
        <v>4</v>
      </c>
      <c r="AB14" t="str">
        <f t="shared" si="2"/>
        <v>achive</v>
      </c>
      <c r="AC14" t="str">
        <f t="shared" si="3"/>
        <v>achive</v>
      </c>
    </row>
    <row r="15" spans="1:29" x14ac:dyDescent="0.25">
      <c r="A15" s="19" t="s">
        <v>272</v>
      </c>
      <c r="B15" s="19" t="s">
        <v>15</v>
      </c>
      <c r="C15" s="20">
        <v>46055</v>
      </c>
      <c r="D15" s="20">
        <v>46055</v>
      </c>
      <c r="E15" s="20">
        <v>46055</v>
      </c>
      <c r="F15" s="20">
        <v>46056</v>
      </c>
      <c r="G15" s="20"/>
      <c r="H15" s="20"/>
      <c r="I15" s="20">
        <v>46056</v>
      </c>
      <c r="J15" s="20">
        <v>46056</v>
      </c>
      <c r="K15" s="21" t="s">
        <v>23</v>
      </c>
      <c r="L15" s="21" t="s">
        <v>57</v>
      </c>
      <c r="M15" s="22" t="s">
        <v>59</v>
      </c>
      <c r="N15" s="21"/>
      <c r="O15" s="23"/>
      <c r="P15" s="21"/>
      <c r="Q15" s="24" t="s">
        <v>16</v>
      </c>
      <c r="R15" s="24" t="s">
        <v>26</v>
      </c>
      <c r="S15" s="8"/>
      <c r="T15" s="8"/>
      <c r="U15" s="5"/>
      <c r="V15" s="5"/>
      <c r="W15" s="6"/>
      <c r="X15" s="6"/>
      <c r="Y15" s="6"/>
      <c r="Z15">
        <f t="shared" si="0"/>
        <v>0</v>
      </c>
      <c r="AA15">
        <f t="shared" si="1"/>
        <v>1</v>
      </c>
      <c r="AB15" t="str">
        <f t="shared" si="2"/>
        <v>achive</v>
      </c>
      <c r="AC15" t="str">
        <f t="shared" si="3"/>
        <v>achive</v>
      </c>
    </row>
    <row r="16" spans="1:29" x14ac:dyDescent="0.25">
      <c r="A16" s="19" t="s">
        <v>272</v>
      </c>
      <c r="B16" s="19" t="s">
        <v>15</v>
      </c>
      <c r="C16" s="20">
        <v>46058</v>
      </c>
      <c r="D16" s="20">
        <v>46058</v>
      </c>
      <c r="E16" s="20">
        <v>46058</v>
      </c>
      <c r="F16" s="20">
        <v>46059</v>
      </c>
      <c r="G16" s="20">
        <v>46114</v>
      </c>
      <c r="H16" s="20">
        <v>46121</v>
      </c>
      <c r="I16" s="20">
        <v>46121</v>
      </c>
      <c r="J16" s="20">
        <v>46121</v>
      </c>
      <c r="K16" s="21" t="s">
        <v>23</v>
      </c>
      <c r="L16" s="21" t="s">
        <v>61</v>
      </c>
      <c r="M16" s="22" t="s">
        <v>62</v>
      </c>
      <c r="N16" s="21"/>
      <c r="O16" s="23"/>
      <c r="P16" s="21"/>
      <c r="Q16" s="24" t="s">
        <v>16</v>
      </c>
      <c r="R16" s="24" t="s">
        <v>26</v>
      </c>
      <c r="S16" s="25" t="s">
        <v>63</v>
      </c>
      <c r="T16" s="25" t="s">
        <v>22</v>
      </c>
      <c r="U16" s="25" t="s">
        <v>64</v>
      </c>
      <c r="V16" s="25" t="s">
        <v>65</v>
      </c>
      <c r="W16" s="25" t="s">
        <v>66</v>
      </c>
      <c r="X16" s="6"/>
      <c r="Y16" s="6"/>
      <c r="Z16">
        <f t="shared" si="0"/>
        <v>0</v>
      </c>
      <c r="AA16">
        <f t="shared" si="1"/>
        <v>63</v>
      </c>
      <c r="AB16" t="str">
        <f t="shared" si="2"/>
        <v>achive</v>
      </c>
      <c r="AC16" t="str">
        <f t="shared" si="3"/>
        <v>tidak achive</v>
      </c>
    </row>
    <row r="17" spans="1:29" x14ac:dyDescent="0.25">
      <c r="A17" s="19" t="s">
        <v>272</v>
      </c>
      <c r="B17" s="19" t="s">
        <v>40</v>
      </c>
      <c r="C17" s="20">
        <v>46063</v>
      </c>
      <c r="D17" s="20">
        <v>46064</v>
      </c>
      <c r="E17" s="20">
        <v>46065</v>
      </c>
      <c r="F17" s="20">
        <v>46065</v>
      </c>
      <c r="G17" s="20"/>
      <c r="H17" s="20"/>
      <c r="I17" s="20">
        <v>46072</v>
      </c>
      <c r="J17" s="20">
        <v>46072</v>
      </c>
      <c r="K17" s="21" t="s">
        <v>23</v>
      </c>
      <c r="L17" s="21" t="s">
        <v>67</v>
      </c>
      <c r="M17" s="47" t="s">
        <v>69</v>
      </c>
      <c r="N17" s="21"/>
      <c r="O17" s="23"/>
      <c r="P17" s="21"/>
      <c r="Q17" s="24" t="s">
        <v>26</v>
      </c>
      <c r="R17" s="25" t="s">
        <v>14</v>
      </c>
      <c r="S17" s="8"/>
      <c r="T17" s="8"/>
      <c r="U17" s="5"/>
      <c r="V17" s="5"/>
      <c r="W17" s="6"/>
      <c r="X17" s="6"/>
      <c r="Y17" s="6"/>
      <c r="Z17">
        <f t="shared" si="0"/>
        <v>1</v>
      </c>
      <c r="AA17">
        <f t="shared" si="1"/>
        <v>1</v>
      </c>
      <c r="AB17" t="str">
        <f t="shared" si="2"/>
        <v>achive</v>
      </c>
      <c r="AC17" t="str">
        <f t="shared" si="3"/>
        <v>achive</v>
      </c>
    </row>
    <row r="18" spans="1:29" x14ac:dyDescent="0.25">
      <c r="A18" s="19" t="s">
        <v>272</v>
      </c>
      <c r="B18" s="19" t="s">
        <v>40</v>
      </c>
      <c r="C18" s="20">
        <v>46063</v>
      </c>
      <c r="D18" s="20">
        <v>46064</v>
      </c>
      <c r="E18" s="20">
        <v>46072</v>
      </c>
      <c r="F18" s="20">
        <v>46072</v>
      </c>
      <c r="G18" s="20"/>
      <c r="H18" s="20"/>
      <c r="I18" s="20">
        <v>46072</v>
      </c>
      <c r="J18" s="20">
        <v>46072</v>
      </c>
      <c r="K18" s="21" t="s">
        <v>23</v>
      </c>
      <c r="L18" s="21" t="s">
        <v>68</v>
      </c>
      <c r="M18" s="22" t="s">
        <v>70</v>
      </c>
      <c r="N18" s="21"/>
      <c r="O18" s="23"/>
      <c r="P18" s="21"/>
      <c r="Q18" s="24" t="s">
        <v>26</v>
      </c>
      <c r="R18" s="25" t="s">
        <v>14</v>
      </c>
      <c r="S18" s="8"/>
      <c r="T18" s="8"/>
      <c r="U18" s="5"/>
      <c r="V18" s="5"/>
      <c r="W18" s="6"/>
      <c r="X18" s="6"/>
      <c r="Y18" s="6"/>
      <c r="Z18">
        <f t="shared" si="0"/>
        <v>8</v>
      </c>
      <c r="AA18">
        <f t="shared" si="1"/>
        <v>8</v>
      </c>
      <c r="AB18" t="str">
        <f t="shared" si="2"/>
        <v>tidak achive</v>
      </c>
      <c r="AC18" t="str">
        <f t="shared" si="3"/>
        <v>achive</v>
      </c>
    </row>
    <row r="19" spans="1:29" x14ac:dyDescent="0.25">
      <c r="A19" s="19" t="s">
        <v>272</v>
      </c>
      <c r="B19" s="19" t="s">
        <v>40</v>
      </c>
      <c r="C19" s="20">
        <v>46063</v>
      </c>
      <c r="D19" s="20">
        <v>46064</v>
      </c>
      <c r="E19" s="20">
        <v>46065</v>
      </c>
      <c r="F19" s="20">
        <v>46065</v>
      </c>
      <c r="G19" s="20"/>
      <c r="H19" s="20"/>
      <c r="I19" s="20">
        <v>46066</v>
      </c>
      <c r="J19" s="20">
        <v>46066</v>
      </c>
      <c r="K19" s="21" t="s">
        <v>23</v>
      </c>
      <c r="L19" s="21" t="s">
        <v>71</v>
      </c>
      <c r="M19" s="22" t="s">
        <v>72</v>
      </c>
      <c r="N19" s="21"/>
      <c r="O19" s="23"/>
      <c r="P19" s="21"/>
      <c r="Q19" s="24" t="s">
        <v>26</v>
      </c>
      <c r="R19" s="25" t="s">
        <v>14</v>
      </c>
      <c r="S19" s="8"/>
      <c r="T19" s="8"/>
      <c r="U19" s="5"/>
      <c r="V19" s="5"/>
      <c r="W19" s="6"/>
      <c r="X19" s="6"/>
      <c r="Y19" s="6"/>
      <c r="Z19">
        <f t="shared" si="0"/>
        <v>1</v>
      </c>
      <c r="AA19">
        <f t="shared" si="1"/>
        <v>1</v>
      </c>
      <c r="AB19" t="str">
        <f t="shared" si="2"/>
        <v>achive</v>
      </c>
      <c r="AC19" t="str">
        <f t="shared" si="3"/>
        <v>achive</v>
      </c>
    </row>
    <row r="20" spans="1:29" x14ac:dyDescent="0.25">
      <c r="A20" s="19" t="s">
        <v>272</v>
      </c>
      <c r="B20" s="19" t="s">
        <v>40</v>
      </c>
      <c r="C20" s="20">
        <v>46064</v>
      </c>
      <c r="D20" s="20">
        <v>46064</v>
      </c>
      <c r="E20" s="20">
        <v>46065</v>
      </c>
      <c r="F20" s="20">
        <v>46065</v>
      </c>
      <c r="G20" s="20"/>
      <c r="H20" s="20"/>
      <c r="I20" s="20">
        <v>46066</v>
      </c>
      <c r="J20" s="20">
        <v>46066</v>
      </c>
      <c r="K20" s="21" t="s">
        <v>23</v>
      </c>
      <c r="L20" s="21" t="s">
        <v>73</v>
      </c>
      <c r="M20" s="22" t="s">
        <v>75</v>
      </c>
      <c r="N20" s="21"/>
      <c r="O20" s="23"/>
      <c r="P20" s="21"/>
      <c r="Q20" s="24" t="s">
        <v>26</v>
      </c>
      <c r="R20" s="25" t="s">
        <v>14</v>
      </c>
      <c r="S20" s="8"/>
      <c r="T20" s="8"/>
      <c r="U20" s="5"/>
      <c r="V20" s="5"/>
      <c r="W20" s="6"/>
      <c r="X20" s="6"/>
      <c r="Y20" s="6"/>
      <c r="Z20">
        <f t="shared" si="0"/>
        <v>1</v>
      </c>
      <c r="AA20">
        <f t="shared" si="1"/>
        <v>1</v>
      </c>
      <c r="AB20" t="str">
        <f t="shared" si="2"/>
        <v>achive</v>
      </c>
      <c r="AC20" t="str">
        <f t="shared" si="3"/>
        <v>achive</v>
      </c>
    </row>
    <row r="21" spans="1:29" x14ac:dyDescent="0.25">
      <c r="A21" s="19" t="s">
        <v>272</v>
      </c>
      <c r="B21" s="19" t="s">
        <v>24</v>
      </c>
      <c r="C21" s="20">
        <v>46064</v>
      </c>
      <c r="D21" s="20">
        <v>46064</v>
      </c>
      <c r="E21" s="20">
        <v>46064</v>
      </c>
      <c r="F21" s="20">
        <v>46065</v>
      </c>
      <c r="G21" s="20"/>
      <c r="H21" s="20"/>
      <c r="I21" s="20">
        <v>46066</v>
      </c>
      <c r="J21" s="20">
        <v>46066</v>
      </c>
      <c r="K21" s="21" t="s">
        <v>23</v>
      </c>
      <c r="L21" s="21" t="s">
        <v>74</v>
      </c>
      <c r="M21" s="22" t="s">
        <v>76</v>
      </c>
      <c r="N21" s="21"/>
      <c r="O21" s="23"/>
      <c r="P21" s="21"/>
      <c r="Q21" s="24" t="s">
        <v>26</v>
      </c>
      <c r="R21" s="24" t="s">
        <v>42</v>
      </c>
      <c r="S21" s="8"/>
      <c r="T21" s="8"/>
      <c r="U21" s="5"/>
      <c r="V21" s="5"/>
      <c r="W21" s="6"/>
      <c r="X21" s="6"/>
      <c r="Y21" s="6"/>
      <c r="Z21">
        <f t="shared" si="0"/>
        <v>0</v>
      </c>
      <c r="AA21">
        <f t="shared" si="1"/>
        <v>1</v>
      </c>
      <c r="AB21" t="str">
        <f t="shared" si="2"/>
        <v>achive</v>
      </c>
      <c r="AC21" t="str">
        <f t="shared" si="3"/>
        <v>achive</v>
      </c>
    </row>
    <row r="22" spans="1:29" x14ac:dyDescent="0.25">
      <c r="A22" s="19" t="s">
        <v>272</v>
      </c>
      <c r="B22" s="19" t="s">
        <v>40</v>
      </c>
      <c r="C22" s="20">
        <v>46072</v>
      </c>
      <c r="D22" s="20">
        <v>46073</v>
      </c>
      <c r="E22" s="20">
        <v>46073</v>
      </c>
      <c r="F22" s="20">
        <v>46076</v>
      </c>
      <c r="G22" s="20"/>
      <c r="H22" s="20"/>
      <c r="I22" s="20">
        <v>46076</v>
      </c>
      <c r="J22" s="20">
        <v>46077</v>
      </c>
      <c r="K22" s="21" t="s">
        <v>23</v>
      </c>
      <c r="L22" s="21" t="s">
        <v>77</v>
      </c>
      <c r="M22" s="22" t="s">
        <v>78</v>
      </c>
      <c r="N22" s="21"/>
      <c r="O22" s="23"/>
      <c r="P22" s="21"/>
      <c r="Q22" s="24" t="s">
        <v>26</v>
      </c>
      <c r="R22" s="25" t="s">
        <v>14</v>
      </c>
      <c r="S22" s="8"/>
      <c r="T22" s="8"/>
      <c r="U22" s="5"/>
      <c r="V22" s="5"/>
      <c r="W22" s="6"/>
      <c r="X22" s="6"/>
      <c r="Y22" s="6"/>
      <c r="Z22">
        <f t="shared" si="0"/>
        <v>0</v>
      </c>
      <c r="AA22">
        <f t="shared" si="1"/>
        <v>3</v>
      </c>
      <c r="AB22" t="str">
        <f t="shared" si="2"/>
        <v>achive</v>
      </c>
      <c r="AC22" t="str">
        <f t="shared" si="3"/>
        <v>achive</v>
      </c>
    </row>
    <row r="23" spans="1:29" x14ac:dyDescent="0.25">
      <c r="A23" s="19" t="s">
        <v>272</v>
      </c>
      <c r="B23" s="19" t="s">
        <v>40</v>
      </c>
      <c r="C23" s="20">
        <v>46072</v>
      </c>
      <c r="D23" s="20">
        <v>46073</v>
      </c>
      <c r="E23" s="20">
        <v>46073</v>
      </c>
      <c r="F23" s="20">
        <v>46076</v>
      </c>
      <c r="G23" s="20"/>
      <c r="H23" s="20"/>
      <c r="I23" s="20">
        <v>46076</v>
      </c>
      <c r="J23" s="20">
        <v>46077</v>
      </c>
      <c r="K23" s="21" t="s">
        <v>23</v>
      </c>
      <c r="L23" s="21" t="s">
        <v>79</v>
      </c>
      <c r="M23" s="22" t="s">
        <v>81</v>
      </c>
      <c r="N23" s="21"/>
      <c r="O23" s="23"/>
      <c r="P23" s="21"/>
      <c r="Q23" s="24" t="s">
        <v>26</v>
      </c>
      <c r="R23" s="25" t="s">
        <v>14</v>
      </c>
      <c r="S23" s="8"/>
      <c r="T23" s="8"/>
      <c r="U23" s="5"/>
      <c r="V23" s="5"/>
      <c r="W23" s="6"/>
      <c r="X23" s="6"/>
      <c r="Y23" s="6"/>
      <c r="Z23">
        <f t="shared" si="0"/>
        <v>0</v>
      </c>
      <c r="AA23">
        <f t="shared" si="1"/>
        <v>3</v>
      </c>
      <c r="AB23" t="str">
        <f t="shared" si="2"/>
        <v>achive</v>
      </c>
      <c r="AC23" t="str">
        <f t="shared" si="3"/>
        <v>achive</v>
      </c>
    </row>
    <row r="24" spans="1:29" x14ac:dyDescent="0.25">
      <c r="A24" s="19" t="s">
        <v>272</v>
      </c>
      <c r="B24" s="19" t="s">
        <v>40</v>
      </c>
      <c r="C24" s="20">
        <v>46072</v>
      </c>
      <c r="D24" s="20">
        <v>46073</v>
      </c>
      <c r="E24" s="20">
        <v>46073</v>
      </c>
      <c r="F24" s="20">
        <v>46076</v>
      </c>
      <c r="G24" s="20"/>
      <c r="H24" s="20"/>
      <c r="I24" s="20">
        <v>46076</v>
      </c>
      <c r="J24" s="20">
        <v>46077</v>
      </c>
      <c r="K24" s="21" t="s">
        <v>23</v>
      </c>
      <c r="L24" s="21" t="s">
        <v>80</v>
      </c>
      <c r="M24" s="22" t="s">
        <v>83</v>
      </c>
      <c r="N24" s="21"/>
      <c r="O24" s="23"/>
      <c r="P24" s="21"/>
      <c r="Q24" s="24" t="s">
        <v>26</v>
      </c>
      <c r="R24" s="25" t="s">
        <v>14</v>
      </c>
      <c r="S24" s="8"/>
      <c r="T24" s="8"/>
      <c r="U24" s="5"/>
      <c r="V24" s="5"/>
      <c r="W24" s="6"/>
      <c r="X24" s="6"/>
      <c r="Y24" s="6"/>
      <c r="Z24">
        <f t="shared" si="0"/>
        <v>0</v>
      </c>
      <c r="AA24">
        <f t="shared" si="1"/>
        <v>3</v>
      </c>
      <c r="AB24" t="str">
        <f t="shared" si="2"/>
        <v>achive</v>
      </c>
      <c r="AC24" t="str">
        <f t="shared" si="3"/>
        <v>achive</v>
      </c>
    </row>
    <row r="25" spans="1:29" x14ac:dyDescent="0.25">
      <c r="A25" s="19" t="s">
        <v>272</v>
      </c>
      <c r="B25" s="19" t="s">
        <v>24</v>
      </c>
      <c r="C25" s="20">
        <v>46073</v>
      </c>
      <c r="D25" s="20">
        <v>46073</v>
      </c>
      <c r="E25" s="20">
        <v>46073</v>
      </c>
      <c r="F25" s="20">
        <v>46077</v>
      </c>
      <c r="G25" s="20">
        <v>46078</v>
      </c>
      <c r="H25" s="20"/>
      <c r="I25" s="20">
        <v>46078</v>
      </c>
      <c r="J25" s="20">
        <v>46078</v>
      </c>
      <c r="K25" s="21" t="s">
        <v>23</v>
      </c>
      <c r="L25" s="21" t="s">
        <v>82</v>
      </c>
      <c r="M25" s="22" t="s">
        <v>84</v>
      </c>
      <c r="N25" s="21"/>
      <c r="O25" s="23"/>
      <c r="P25" s="21"/>
      <c r="Q25" s="24" t="s">
        <v>26</v>
      </c>
      <c r="R25" s="24" t="s">
        <v>22</v>
      </c>
      <c r="S25" s="8"/>
      <c r="T25" s="8"/>
      <c r="U25" s="5"/>
      <c r="V25" s="5"/>
      <c r="W25" s="6"/>
      <c r="X25" s="6"/>
      <c r="Y25" s="6"/>
      <c r="Z25">
        <f t="shared" si="0"/>
        <v>0</v>
      </c>
      <c r="AA25">
        <f t="shared" si="1"/>
        <v>5</v>
      </c>
      <c r="AB25" t="str">
        <f t="shared" si="2"/>
        <v>achive</v>
      </c>
      <c r="AC25" t="str">
        <f t="shared" si="3"/>
        <v>achive</v>
      </c>
    </row>
    <row r="26" spans="1:29" x14ac:dyDescent="0.25">
      <c r="A26" s="19" t="s">
        <v>272</v>
      </c>
      <c r="B26" s="19" t="s">
        <v>60</v>
      </c>
      <c r="C26" s="20">
        <v>46076</v>
      </c>
      <c r="D26" s="20">
        <v>46076</v>
      </c>
      <c r="E26" s="20">
        <v>46076</v>
      </c>
      <c r="F26" s="20">
        <v>46077</v>
      </c>
      <c r="G26" s="20"/>
      <c r="H26" s="20"/>
      <c r="I26" s="20">
        <v>46079</v>
      </c>
      <c r="J26" s="20">
        <v>46079</v>
      </c>
      <c r="K26" s="21" t="s">
        <v>23</v>
      </c>
      <c r="L26" s="21" t="s">
        <v>85</v>
      </c>
      <c r="M26" s="22" t="s">
        <v>86</v>
      </c>
      <c r="N26" s="21"/>
      <c r="O26" s="23"/>
      <c r="P26" s="21"/>
      <c r="Q26" s="24" t="s">
        <v>26</v>
      </c>
      <c r="R26" s="25" t="s">
        <v>14</v>
      </c>
      <c r="S26" s="8"/>
      <c r="T26" s="8"/>
      <c r="U26" s="5"/>
      <c r="V26" s="5"/>
      <c r="W26" s="6"/>
      <c r="X26" s="6"/>
      <c r="Y26" s="6"/>
      <c r="Z26">
        <f t="shared" si="0"/>
        <v>0</v>
      </c>
      <c r="AA26">
        <f t="shared" si="1"/>
        <v>1</v>
      </c>
      <c r="AB26" t="str">
        <f t="shared" si="2"/>
        <v>achive</v>
      </c>
      <c r="AC26" t="str">
        <f t="shared" si="3"/>
        <v>achive</v>
      </c>
    </row>
    <row r="27" spans="1:29" x14ac:dyDescent="0.25">
      <c r="A27" s="19" t="s">
        <v>272</v>
      </c>
      <c r="B27" s="19" t="s">
        <v>24</v>
      </c>
      <c r="C27" s="20">
        <v>46076</v>
      </c>
      <c r="D27" s="20">
        <v>46076</v>
      </c>
      <c r="E27" s="20">
        <v>46076</v>
      </c>
      <c r="F27" s="20">
        <v>46077</v>
      </c>
      <c r="G27" s="20"/>
      <c r="H27" s="20"/>
      <c r="I27" s="20">
        <v>46078</v>
      </c>
      <c r="J27" s="20">
        <v>46079</v>
      </c>
      <c r="K27" s="21" t="s">
        <v>23</v>
      </c>
      <c r="L27" s="21" t="s">
        <v>87</v>
      </c>
      <c r="M27" s="22" t="s">
        <v>88</v>
      </c>
      <c r="N27" s="21"/>
      <c r="O27" s="23"/>
      <c r="P27" s="21"/>
      <c r="Q27" s="24" t="s">
        <v>26</v>
      </c>
      <c r="R27" s="24" t="s">
        <v>93</v>
      </c>
      <c r="S27" s="24" t="s">
        <v>42</v>
      </c>
      <c r="T27" s="8"/>
      <c r="U27" s="5"/>
      <c r="V27" s="5"/>
      <c r="W27" s="6"/>
      <c r="X27" s="6"/>
      <c r="Y27" s="6"/>
      <c r="Z27">
        <f t="shared" si="0"/>
        <v>0</v>
      </c>
      <c r="AA27">
        <f t="shared" si="1"/>
        <v>1</v>
      </c>
      <c r="AB27" t="str">
        <f t="shared" si="2"/>
        <v>achive</v>
      </c>
      <c r="AC27" t="str">
        <f t="shared" si="3"/>
        <v>achive</v>
      </c>
    </row>
    <row r="28" spans="1:29" x14ac:dyDescent="0.25">
      <c r="A28" s="19" t="s">
        <v>272</v>
      </c>
      <c r="B28" s="19" t="s">
        <v>24</v>
      </c>
      <c r="C28" s="20">
        <v>46078</v>
      </c>
      <c r="D28" s="20">
        <v>46078</v>
      </c>
      <c r="E28" s="20">
        <v>46077</v>
      </c>
      <c r="F28" s="20">
        <v>46078</v>
      </c>
      <c r="G28" s="20"/>
      <c r="H28" s="20"/>
      <c r="I28" s="20">
        <v>46083</v>
      </c>
      <c r="J28" s="20">
        <v>46083</v>
      </c>
      <c r="K28" s="21" t="s">
        <v>23</v>
      </c>
      <c r="L28" s="21" t="s">
        <v>89</v>
      </c>
      <c r="M28" s="22" t="s">
        <v>90</v>
      </c>
      <c r="N28" s="21"/>
      <c r="O28" s="23"/>
      <c r="P28" s="21"/>
      <c r="Q28" s="24" t="s">
        <v>26</v>
      </c>
      <c r="R28" s="24" t="s">
        <v>42</v>
      </c>
      <c r="S28" s="8"/>
      <c r="T28" s="8"/>
      <c r="U28" s="5"/>
      <c r="V28" s="5"/>
      <c r="W28" s="6"/>
      <c r="X28" s="6"/>
      <c r="Y28" s="6"/>
      <c r="Z28">
        <f t="shared" si="0"/>
        <v>-1</v>
      </c>
      <c r="AA28">
        <f t="shared" si="1"/>
        <v>0</v>
      </c>
      <c r="AB28" t="str">
        <f t="shared" si="2"/>
        <v>achive</v>
      </c>
      <c r="AC28" t="str">
        <f t="shared" si="3"/>
        <v>achive</v>
      </c>
    </row>
    <row r="29" spans="1:29" x14ac:dyDescent="0.25">
      <c r="A29" s="19" t="s">
        <v>272</v>
      </c>
      <c r="B29" s="19" t="s">
        <v>40</v>
      </c>
      <c r="C29" s="20">
        <v>46078</v>
      </c>
      <c r="D29" s="20">
        <v>46078</v>
      </c>
      <c r="E29" s="20">
        <v>46078</v>
      </c>
      <c r="F29" s="20">
        <v>46079</v>
      </c>
      <c r="G29" s="20"/>
      <c r="H29" s="20"/>
      <c r="I29" s="20">
        <v>46079</v>
      </c>
      <c r="J29" s="20">
        <v>46079</v>
      </c>
      <c r="K29" s="21" t="s">
        <v>23</v>
      </c>
      <c r="L29" s="21" t="s">
        <v>94</v>
      </c>
      <c r="M29" s="22" t="s">
        <v>95</v>
      </c>
      <c r="N29" s="21"/>
      <c r="O29" s="23"/>
      <c r="P29" s="21"/>
      <c r="Q29" s="24" t="s">
        <v>26</v>
      </c>
      <c r="R29" s="25" t="s">
        <v>14</v>
      </c>
      <c r="S29" s="8"/>
      <c r="T29" s="8"/>
      <c r="U29" s="5"/>
      <c r="V29" s="5"/>
      <c r="W29" s="6"/>
      <c r="X29" s="6"/>
      <c r="Y29" s="6"/>
      <c r="Z29">
        <f t="shared" si="0"/>
        <v>0</v>
      </c>
      <c r="AA29">
        <f t="shared" si="1"/>
        <v>1</v>
      </c>
      <c r="AB29" t="str">
        <f t="shared" si="2"/>
        <v>achive</v>
      </c>
      <c r="AC29" t="str">
        <f t="shared" si="3"/>
        <v>achive</v>
      </c>
    </row>
    <row r="30" spans="1:29" x14ac:dyDescent="0.25">
      <c r="A30" s="19" t="s">
        <v>272</v>
      </c>
      <c r="B30" s="19" t="s">
        <v>24</v>
      </c>
      <c r="C30" s="20">
        <v>46078</v>
      </c>
      <c r="D30" s="20">
        <v>46079</v>
      </c>
      <c r="E30" s="20">
        <v>46079</v>
      </c>
      <c r="F30" s="20">
        <v>46079</v>
      </c>
      <c r="G30" s="20">
        <v>46097</v>
      </c>
      <c r="H30" s="20"/>
      <c r="I30" s="20">
        <v>46097</v>
      </c>
      <c r="J30" s="20">
        <v>46097</v>
      </c>
      <c r="K30" s="21" t="s">
        <v>23</v>
      </c>
      <c r="L30" s="21" t="s">
        <v>96</v>
      </c>
      <c r="M30" s="22" t="s">
        <v>97</v>
      </c>
      <c r="N30" s="21"/>
      <c r="O30" s="23" t="s">
        <v>98</v>
      </c>
      <c r="P30" s="21"/>
      <c r="Q30" s="24" t="s">
        <v>26</v>
      </c>
      <c r="R30" s="24" t="s">
        <v>22</v>
      </c>
      <c r="S30" s="25" t="s">
        <v>64</v>
      </c>
      <c r="T30" s="8"/>
      <c r="U30" s="5"/>
      <c r="V30" s="5"/>
      <c r="W30" s="6"/>
      <c r="X30" s="6"/>
      <c r="Y30" s="6"/>
      <c r="Z30">
        <f t="shared" si="0"/>
        <v>0</v>
      </c>
      <c r="AA30">
        <f t="shared" si="1"/>
        <v>18</v>
      </c>
      <c r="AB30" t="str">
        <f t="shared" si="2"/>
        <v>achive</v>
      </c>
      <c r="AC30" t="str">
        <f t="shared" si="3"/>
        <v>tidak achive</v>
      </c>
    </row>
    <row r="31" spans="1:29" x14ac:dyDescent="0.25">
      <c r="A31" s="19" t="s">
        <v>272</v>
      </c>
      <c r="B31" s="19" t="s">
        <v>102</v>
      </c>
      <c r="C31" s="20">
        <v>46079</v>
      </c>
      <c r="D31" s="20">
        <v>46079</v>
      </c>
      <c r="E31" s="20">
        <v>46079</v>
      </c>
      <c r="F31" s="20">
        <v>46080</v>
      </c>
      <c r="G31" s="20"/>
      <c r="H31" s="20"/>
      <c r="I31" s="20">
        <v>46084</v>
      </c>
      <c r="J31" s="20">
        <v>46084</v>
      </c>
      <c r="K31" s="21" t="s">
        <v>23</v>
      </c>
      <c r="L31" s="21" t="s">
        <v>101</v>
      </c>
      <c r="M31" s="22" t="s">
        <v>103</v>
      </c>
      <c r="N31" s="21"/>
      <c r="O31" s="23"/>
      <c r="P31" s="21"/>
      <c r="Q31" s="24" t="s">
        <v>26</v>
      </c>
      <c r="R31" s="25" t="s">
        <v>14</v>
      </c>
      <c r="S31" s="8"/>
      <c r="T31" s="8"/>
      <c r="U31" s="5"/>
      <c r="V31" s="5"/>
      <c r="W31" s="6"/>
      <c r="X31" s="6"/>
      <c r="Y31" s="6"/>
      <c r="Z31">
        <f t="shared" si="0"/>
        <v>0</v>
      </c>
      <c r="AA31">
        <f t="shared" si="1"/>
        <v>1</v>
      </c>
      <c r="AB31" t="str">
        <f t="shared" si="2"/>
        <v>achive</v>
      </c>
      <c r="AC31" t="str">
        <f t="shared" si="3"/>
        <v>achive</v>
      </c>
    </row>
    <row r="32" spans="1:29" x14ac:dyDescent="0.25">
      <c r="A32" s="19" t="s">
        <v>272</v>
      </c>
      <c r="B32" s="19" t="s">
        <v>107</v>
      </c>
      <c r="C32" s="20">
        <v>46079</v>
      </c>
      <c r="D32" s="20">
        <v>46079</v>
      </c>
      <c r="E32" s="20">
        <v>46079</v>
      </c>
      <c r="F32" s="20">
        <v>46080</v>
      </c>
      <c r="G32" s="20"/>
      <c r="H32" s="20"/>
      <c r="I32" s="20">
        <v>46083</v>
      </c>
      <c r="J32" s="20">
        <v>46083</v>
      </c>
      <c r="K32" s="21" t="s">
        <v>23</v>
      </c>
      <c r="L32" s="21" t="s">
        <v>104</v>
      </c>
      <c r="M32" s="22" t="s">
        <v>105</v>
      </c>
      <c r="N32" s="21"/>
      <c r="O32" s="23" t="s">
        <v>106</v>
      </c>
      <c r="P32" s="21"/>
      <c r="Q32" s="24" t="s">
        <v>26</v>
      </c>
      <c r="R32" s="24" t="s">
        <v>42</v>
      </c>
      <c r="S32" s="8"/>
      <c r="T32" s="8"/>
      <c r="U32" s="5"/>
      <c r="V32" s="5"/>
      <c r="W32" s="6"/>
      <c r="X32" s="6"/>
      <c r="Y32" s="6"/>
      <c r="Z32">
        <f t="shared" si="0"/>
        <v>0</v>
      </c>
      <c r="AA32">
        <f t="shared" si="1"/>
        <v>1</v>
      </c>
      <c r="AB32" t="str">
        <f t="shared" si="2"/>
        <v>achive</v>
      </c>
      <c r="AC32" t="str">
        <f t="shared" si="3"/>
        <v>achive</v>
      </c>
    </row>
    <row r="33" spans="1:29" x14ac:dyDescent="0.25">
      <c r="A33" s="19" t="s">
        <v>272</v>
      </c>
      <c r="B33" s="19" t="s">
        <v>116</v>
      </c>
      <c r="C33" s="20">
        <v>46084</v>
      </c>
      <c r="D33" s="20">
        <v>46084</v>
      </c>
      <c r="E33" s="20">
        <v>46084</v>
      </c>
      <c r="F33" s="20"/>
      <c r="G33" s="20"/>
      <c r="H33" s="20"/>
      <c r="I33" s="20">
        <v>46084</v>
      </c>
      <c r="J33" s="20">
        <v>46084</v>
      </c>
      <c r="K33" s="21" t="s">
        <v>23</v>
      </c>
      <c r="L33" s="21" t="s">
        <v>112</v>
      </c>
      <c r="M33" s="22" t="s">
        <v>115</v>
      </c>
      <c r="N33" s="21"/>
      <c r="O33" s="23"/>
      <c r="P33" s="21"/>
      <c r="Q33" s="8"/>
      <c r="R33" s="8"/>
      <c r="S33" s="8"/>
      <c r="T33" s="8"/>
      <c r="U33" s="5"/>
      <c r="V33" s="5"/>
      <c r="W33" s="6"/>
      <c r="X33" s="6"/>
      <c r="Y33" s="6"/>
      <c r="Z33">
        <f t="shared" si="0"/>
        <v>0</v>
      </c>
      <c r="AA33">
        <f t="shared" si="1"/>
        <v>0</v>
      </c>
      <c r="AB33" t="str">
        <f t="shared" si="2"/>
        <v>achive</v>
      </c>
      <c r="AC33" t="str">
        <f t="shared" si="3"/>
        <v>achive</v>
      </c>
    </row>
    <row r="34" spans="1:29" x14ac:dyDescent="0.25">
      <c r="A34" s="19" t="s">
        <v>272</v>
      </c>
      <c r="B34" s="19" t="s">
        <v>25</v>
      </c>
      <c r="C34" s="20">
        <v>46084</v>
      </c>
      <c r="D34" s="20">
        <v>46084</v>
      </c>
      <c r="E34" s="20">
        <v>46084</v>
      </c>
      <c r="F34" s="20">
        <v>46084</v>
      </c>
      <c r="G34" s="20"/>
      <c r="H34" s="20"/>
      <c r="I34" s="20">
        <v>46084</v>
      </c>
      <c r="J34" s="20">
        <v>46084</v>
      </c>
      <c r="K34" s="21" t="s">
        <v>23</v>
      </c>
      <c r="L34" s="21" t="s">
        <v>113</v>
      </c>
      <c r="M34" s="22" t="s">
        <v>114</v>
      </c>
      <c r="N34" s="21"/>
      <c r="O34" s="23"/>
      <c r="P34" s="21"/>
      <c r="Q34" s="24" t="s">
        <v>16</v>
      </c>
      <c r="R34" s="24" t="s">
        <v>26</v>
      </c>
      <c r="S34" s="8"/>
      <c r="T34" s="8"/>
      <c r="U34" s="5"/>
      <c r="V34" s="5"/>
      <c r="W34" s="6"/>
      <c r="X34" s="6"/>
      <c r="Y34" s="6"/>
      <c r="Z34">
        <f t="shared" si="0"/>
        <v>0</v>
      </c>
      <c r="AA34">
        <f t="shared" si="1"/>
        <v>0</v>
      </c>
      <c r="AB34" t="str">
        <f t="shared" si="2"/>
        <v>achive</v>
      </c>
      <c r="AC34" t="str">
        <f t="shared" si="3"/>
        <v>achive</v>
      </c>
    </row>
    <row r="35" spans="1:29" x14ac:dyDescent="0.25">
      <c r="A35" s="19" t="s">
        <v>272</v>
      </c>
      <c r="B35" s="19" t="s">
        <v>116</v>
      </c>
      <c r="C35" s="20">
        <v>46087</v>
      </c>
      <c r="D35" s="20">
        <v>46087</v>
      </c>
      <c r="E35" s="20">
        <v>46088</v>
      </c>
      <c r="F35" s="20"/>
      <c r="G35" s="20"/>
      <c r="H35" s="20"/>
      <c r="I35" s="20">
        <v>46088</v>
      </c>
      <c r="J35" s="20">
        <v>46088</v>
      </c>
      <c r="K35" s="21" t="s">
        <v>23</v>
      </c>
      <c r="L35" s="21" t="s">
        <v>117</v>
      </c>
      <c r="M35" s="22" t="s">
        <v>118</v>
      </c>
      <c r="N35" s="21"/>
      <c r="O35" s="23" t="s">
        <v>119</v>
      </c>
      <c r="P35" s="21"/>
      <c r="Q35" s="18"/>
      <c r="R35" s="18"/>
      <c r="S35" s="8"/>
      <c r="T35" s="8"/>
      <c r="U35" s="5"/>
      <c r="V35" s="5"/>
      <c r="W35" s="6"/>
      <c r="X35" s="6"/>
      <c r="Y35" s="6"/>
      <c r="Z35">
        <f t="shared" si="0"/>
        <v>1</v>
      </c>
      <c r="AA35">
        <f t="shared" si="1"/>
        <v>1</v>
      </c>
      <c r="AB35" t="str">
        <f t="shared" si="2"/>
        <v>achive</v>
      </c>
      <c r="AC35" t="str">
        <f t="shared" si="3"/>
        <v>achive</v>
      </c>
    </row>
    <row r="36" spans="1:29" x14ac:dyDescent="0.25">
      <c r="A36" s="19" t="s">
        <v>272</v>
      </c>
      <c r="B36" s="19" t="s">
        <v>15</v>
      </c>
      <c r="C36" s="20">
        <v>46090</v>
      </c>
      <c r="D36" s="20">
        <v>46091</v>
      </c>
      <c r="E36" s="20">
        <v>46091</v>
      </c>
      <c r="F36" s="20">
        <v>46092</v>
      </c>
      <c r="G36" s="20"/>
      <c r="H36" s="20"/>
      <c r="I36" s="20">
        <v>46092</v>
      </c>
      <c r="J36" s="20">
        <v>46092</v>
      </c>
      <c r="K36" s="21" t="s">
        <v>23</v>
      </c>
      <c r="L36" s="21" t="s">
        <v>127</v>
      </c>
      <c r="M36" s="22" t="s">
        <v>128</v>
      </c>
      <c r="N36" s="21"/>
      <c r="O36" s="23"/>
      <c r="P36" s="21"/>
      <c r="Q36" s="24" t="s">
        <v>16</v>
      </c>
      <c r="R36" s="24" t="s">
        <v>26</v>
      </c>
      <c r="S36" s="8"/>
      <c r="T36" s="8"/>
      <c r="U36" s="5"/>
      <c r="V36" s="5"/>
      <c r="W36" s="6"/>
      <c r="X36" s="6"/>
      <c r="Y36" s="6"/>
      <c r="Z36">
        <f t="shared" si="0"/>
        <v>0</v>
      </c>
      <c r="AA36">
        <f t="shared" si="1"/>
        <v>1</v>
      </c>
      <c r="AB36" t="str">
        <f t="shared" si="2"/>
        <v>achive</v>
      </c>
      <c r="AC36" t="str">
        <f t="shared" si="3"/>
        <v>achive</v>
      </c>
    </row>
    <row r="37" spans="1:29" x14ac:dyDescent="0.25">
      <c r="A37" s="19" t="s">
        <v>272</v>
      </c>
      <c r="B37" s="13" t="s">
        <v>24</v>
      </c>
      <c r="C37" s="14">
        <v>46091</v>
      </c>
      <c r="D37" s="14">
        <v>46091</v>
      </c>
      <c r="E37" s="14">
        <v>46091</v>
      </c>
      <c r="F37" s="14"/>
      <c r="G37" s="14">
        <v>46098</v>
      </c>
      <c r="H37" s="14"/>
      <c r="I37" s="14"/>
      <c r="J37" s="14"/>
      <c r="K37" s="15"/>
      <c r="L37" s="15" t="s">
        <v>129</v>
      </c>
      <c r="M37" s="16" t="s">
        <v>130</v>
      </c>
      <c r="N37" s="15"/>
      <c r="O37" s="17"/>
      <c r="P37" s="15"/>
      <c r="Q37" s="18" t="s">
        <v>26</v>
      </c>
      <c r="R37" s="8" t="s">
        <v>22</v>
      </c>
      <c r="S37" s="8" t="s">
        <v>136</v>
      </c>
      <c r="T37" s="8" t="s">
        <v>66</v>
      </c>
      <c r="U37" s="5"/>
      <c r="V37" s="5"/>
      <c r="W37" s="6"/>
      <c r="X37" s="6"/>
      <c r="Y37" s="6"/>
      <c r="Z37">
        <f t="shared" si="0"/>
        <v>0</v>
      </c>
      <c r="AA37">
        <f t="shared" si="1"/>
        <v>7</v>
      </c>
      <c r="AB37" t="str">
        <f t="shared" si="2"/>
        <v>achive</v>
      </c>
      <c r="AC37" t="str">
        <f t="shared" si="3"/>
        <v>achive</v>
      </c>
    </row>
    <row r="38" spans="1:29" x14ac:dyDescent="0.25">
      <c r="A38" s="19" t="s">
        <v>272</v>
      </c>
      <c r="B38" s="19" t="s">
        <v>137</v>
      </c>
      <c r="C38" s="20">
        <v>46092</v>
      </c>
      <c r="D38" s="20">
        <v>46092</v>
      </c>
      <c r="E38" s="20">
        <v>46092</v>
      </c>
      <c r="F38" s="20">
        <v>46092</v>
      </c>
      <c r="G38" s="20">
        <v>46092</v>
      </c>
      <c r="H38" s="20">
        <v>46098</v>
      </c>
      <c r="I38" s="20">
        <v>46098</v>
      </c>
      <c r="J38" s="20">
        <v>46098</v>
      </c>
      <c r="K38" s="21" t="s">
        <v>23</v>
      </c>
      <c r="L38" s="21" t="s">
        <v>131</v>
      </c>
      <c r="M38" s="22" t="s">
        <v>132</v>
      </c>
      <c r="N38" s="21"/>
      <c r="O38" s="23"/>
      <c r="P38" s="21"/>
      <c r="Q38" s="24" t="s">
        <v>26</v>
      </c>
      <c r="R38" s="25" t="s">
        <v>22</v>
      </c>
      <c r="S38" s="25" t="s">
        <v>65</v>
      </c>
      <c r="T38" s="25" t="s">
        <v>66</v>
      </c>
      <c r="U38" s="5"/>
      <c r="V38" s="5"/>
      <c r="W38" s="6"/>
      <c r="X38" s="6"/>
      <c r="Y38" s="6"/>
      <c r="Z38">
        <f t="shared" si="0"/>
        <v>0</v>
      </c>
      <c r="AA38">
        <f t="shared" si="1"/>
        <v>6</v>
      </c>
      <c r="AB38" t="str">
        <f t="shared" si="2"/>
        <v>achive</v>
      </c>
      <c r="AC38" t="str">
        <f t="shared" si="3"/>
        <v>achive</v>
      </c>
    </row>
    <row r="39" spans="1:29" x14ac:dyDescent="0.25">
      <c r="A39" s="19" t="s">
        <v>272</v>
      </c>
      <c r="B39" s="19" t="s">
        <v>24</v>
      </c>
      <c r="C39" s="20">
        <v>46092</v>
      </c>
      <c r="D39" s="20">
        <v>46092</v>
      </c>
      <c r="E39" s="20">
        <v>46092</v>
      </c>
      <c r="F39" s="20">
        <v>46092</v>
      </c>
      <c r="G39" s="20">
        <v>46092</v>
      </c>
      <c r="H39" s="20"/>
      <c r="I39" s="20">
        <v>46092</v>
      </c>
      <c r="J39" s="20">
        <v>46092</v>
      </c>
      <c r="K39" s="21" t="s">
        <v>23</v>
      </c>
      <c r="L39" s="21" t="s">
        <v>133</v>
      </c>
      <c r="M39" s="22" t="s">
        <v>158</v>
      </c>
      <c r="N39" s="21"/>
      <c r="O39" s="23" t="s">
        <v>134</v>
      </c>
      <c r="P39" s="21"/>
      <c r="Q39" s="24" t="s">
        <v>26</v>
      </c>
      <c r="R39" s="24" t="s">
        <v>135</v>
      </c>
      <c r="S39" s="8"/>
      <c r="T39" s="8"/>
      <c r="U39" s="5"/>
      <c r="V39" s="5"/>
      <c r="W39" s="6"/>
      <c r="X39" s="6"/>
      <c r="Y39" s="6"/>
      <c r="Z39">
        <f t="shared" si="0"/>
        <v>0</v>
      </c>
      <c r="AA39">
        <f t="shared" si="1"/>
        <v>0</v>
      </c>
      <c r="AB39" t="str">
        <f t="shared" si="2"/>
        <v>achive</v>
      </c>
      <c r="AC39" t="str">
        <f t="shared" si="3"/>
        <v>achive</v>
      </c>
    </row>
    <row r="40" spans="1:29" x14ac:dyDescent="0.25">
      <c r="A40" s="19" t="s">
        <v>272</v>
      </c>
      <c r="B40" s="19" t="s">
        <v>15</v>
      </c>
      <c r="C40" s="20">
        <v>46094</v>
      </c>
      <c r="D40" s="20">
        <v>46094</v>
      </c>
      <c r="E40" s="20">
        <v>46098</v>
      </c>
      <c r="F40" s="20">
        <v>46098</v>
      </c>
      <c r="G40" s="20"/>
      <c r="H40" s="20"/>
      <c r="I40" s="20">
        <v>46098</v>
      </c>
      <c r="J40" s="20">
        <v>46098</v>
      </c>
      <c r="K40" s="21" t="s">
        <v>23</v>
      </c>
      <c r="L40" s="21" t="s">
        <v>138</v>
      </c>
      <c r="M40" s="22" t="s">
        <v>139</v>
      </c>
      <c r="N40" s="21"/>
      <c r="O40" s="23"/>
      <c r="P40" s="21"/>
      <c r="Q40" s="24" t="s">
        <v>16</v>
      </c>
      <c r="R40" s="24" t="s">
        <v>26</v>
      </c>
      <c r="S40" s="8"/>
      <c r="T40" s="8"/>
      <c r="U40" s="5"/>
      <c r="V40" s="5"/>
      <c r="W40" s="6"/>
      <c r="X40" s="6"/>
      <c r="Y40" s="6"/>
      <c r="Z40">
        <f t="shared" si="0"/>
        <v>4</v>
      </c>
      <c r="AA40">
        <f t="shared" si="1"/>
        <v>4</v>
      </c>
      <c r="AB40" t="str">
        <f t="shared" si="2"/>
        <v>tidak achive</v>
      </c>
      <c r="AC40" t="str">
        <f t="shared" si="3"/>
        <v>achive</v>
      </c>
    </row>
    <row r="41" spans="1:29" x14ac:dyDescent="0.25">
      <c r="A41" s="19" t="s">
        <v>272</v>
      </c>
      <c r="B41" s="19" t="s">
        <v>15</v>
      </c>
      <c r="C41" s="20">
        <v>46106</v>
      </c>
      <c r="D41" s="20">
        <v>46107</v>
      </c>
      <c r="E41" s="20">
        <v>46108</v>
      </c>
      <c r="F41" s="20">
        <v>46112</v>
      </c>
      <c r="G41" s="20">
        <v>46120</v>
      </c>
      <c r="H41" s="20">
        <v>46120</v>
      </c>
      <c r="I41" s="20">
        <v>46119</v>
      </c>
      <c r="J41" s="20">
        <v>46119</v>
      </c>
      <c r="K41" s="21" t="s">
        <v>23</v>
      </c>
      <c r="L41" s="21" t="s">
        <v>140</v>
      </c>
      <c r="M41" s="22" t="s">
        <v>141</v>
      </c>
      <c r="N41" s="21"/>
      <c r="O41" s="23"/>
      <c r="P41" s="21"/>
      <c r="Q41" s="24" t="s">
        <v>16</v>
      </c>
      <c r="R41" s="24" t="s">
        <v>26</v>
      </c>
      <c r="S41" s="25" t="s">
        <v>65</v>
      </c>
      <c r="T41" s="8"/>
      <c r="U41" s="5"/>
      <c r="V41" s="5"/>
      <c r="W41" s="6"/>
      <c r="X41" s="6"/>
      <c r="Y41" s="6"/>
      <c r="Z41">
        <f t="shared" si="0"/>
        <v>1</v>
      </c>
      <c r="AA41">
        <f t="shared" si="1"/>
        <v>13</v>
      </c>
      <c r="AB41" t="str">
        <f t="shared" si="2"/>
        <v>achive</v>
      </c>
      <c r="AC41" t="str">
        <f t="shared" si="3"/>
        <v>tidak achive</v>
      </c>
    </row>
    <row r="42" spans="1:29" x14ac:dyDescent="0.25">
      <c r="A42" s="19" t="s">
        <v>272</v>
      </c>
      <c r="B42" s="19" t="s">
        <v>40</v>
      </c>
      <c r="C42" s="20">
        <v>46113</v>
      </c>
      <c r="D42" s="20">
        <v>46113</v>
      </c>
      <c r="E42" s="20">
        <v>46113</v>
      </c>
      <c r="F42" s="20">
        <v>46114</v>
      </c>
      <c r="G42" s="20"/>
      <c r="H42" s="20"/>
      <c r="I42" s="20">
        <v>46113</v>
      </c>
      <c r="J42" s="20">
        <v>46113</v>
      </c>
      <c r="K42" s="21" t="s">
        <v>23</v>
      </c>
      <c r="L42" s="21" t="s">
        <v>142</v>
      </c>
      <c r="M42" s="22" t="s">
        <v>143</v>
      </c>
      <c r="N42" s="21"/>
      <c r="O42" s="23"/>
      <c r="P42" s="21"/>
      <c r="Q42" s="18"/>
      <c r="R42" s="18"/>
      <c r="S42" s="8"/>
      <c r="T42" s="8"/>
      <c r="U42" s="5"/>
      <c r="V42" s="5"/>
      <c r="W42" s="6"/>
      <c r="X42" s="6"/>
      <c r="Y42" s="6"/>
      <c r="Z42">
        <f t="shared" si="0"/>
        <v>0</v>
      </c>
      <c r="AA42">
        <f t="shared" si="1"/>
        <v>1</v>
      </c>
      <c r="AB42" t="str">
        <f t="shared" si="2"/>
        <v>achive</v>
      </c>
      <c r="AC42" t="str">
        <f t="shared" si="3"/>
        <v>achive</v>
      </c>
    </row>
    <row r="43" spans="1:29" x14ac:dyDescent="0.25">
      <c r="A43" s="19" t="s">
        <v>272</v>
      </c>
      <c r="B43" s="19" t="s">
        <v>24</v>
      </c>
      <c r="C43" s="20">
        <v>46113</v>
      </c>
      <c r="D43" s="20">
        <v>46113</v>
      </c>
      <c r="E43" s="20">
        <v>46113</v>
      </c>
      <c r="F43" s="20">
        <v>46114</v>
      </c>
      <c r="G43" s="20"/>
      <c r="H43" s="20"/>
      <c r="I43" s="20">
        <v>46114</v>
      </c>
      <c r="J43" s="20">
        <v>46114</v>
      </c>
      <c r="K43" s="21" t="s">
        <v>23</v>
      </c>
      <c r="L43" s="21" t="s">
        <v>144</v>
      </c>
      <c r="M43" s="22" t="s">
        <v>145</v>
      </c>
      <c r="N43" s="21"/>
      <c r="O43" s="23"/>
      <c r="P43" s="21"/>
      <c r="Q43" s="24" t="s">
        <v>26</v>
      </c>
      <c r="R43" s="24" t="s">
        <v>146</v>
      </c>
      <c r="S43" s="25" t="s">
        <v>147</v>
      </c>
      <c r="T43" s="8"/>
      <c r="U43" s="5"/>
      <c r="V43" s="5"/>
      <c r="W43" s="6"/>
      <c r="X43" s="6"/>
      <c r="Y43" s="6"/>
      <c r="Z43">
        <f t="shared" si="0"/>
        <v>0</v>
      </c>
      <c r="AA43">
        <f t="shared" si="1"/>
        <v>1</v>
      </c>
      <c r="AB43" t="str">
        <f t="shared" si="2"/>
        <v>achive</v>
      </c>
      <c r="AC43" t="str">
        <f t="shared" si="3"/>
        <v>achive</v>
      </c>
    </row>
    <row r="44" spans="1:29" x14ac:dyDescent="0.25">
      <c r="A44" s="19" t="s">
        <v>272</v>
      </c>
      <c r="B44" s="19" t="s">
        <v>24</v>
      </c>
      <c r="C44" s="20">
        <v>46118</v>
      </c>
      <c r="D44" s="20">
        <v>46118</v>
      </c>
      <c r="E44" s="20">
        <v>46118</v>
      </c>
      <c r="F44" s="20">
        <v>46118</v>
      </c>
      <c r="G44" s="20"/>
      <c r="H44" s="20"/>
      <c r="I44" s="20">
        <v>46119</v>
      </c>
      <c r="J44" s="20">
        <v>46119</v>
      </c>
      <c r="K44" s="21" t="s">
        <v>23</v>
      </c>
      <c r="L44" s="21" t="s">
        <v>148</v>
      </c>
      <c r="M44" s="22" t="s">
        <v>149</v>
      </c>
      <c r="N44" s="21"/>
      <c r="O44" s="23"/>
      <c r="P44" s="21"/>
      <c r="Q44" s="24" t="s">
        <v>26</v>
      </c>
      <c r="R44" s="24" t="s">
        <v>42</v>
      </c>
      <c r="S44" s="8"/>
      <c r="T44" s="8"/>
      <c r="U44" s="5"/>
      <c r="V44" s="5"/>
      <c r="W44" s="6"/>
      <c r="X44" s="6"/>
      <c r="Y44" s="6"/>
      <c r="Z44">
        <f t="shared" si="0"/>
        <v>0</v>
      </c>
      <c r="AA44">
        <f t="shared" si="1"/>
        <v>0</v>
      </c>
      <c r="AB44" t="str">
        <f t="shared" si="2"/>
        <v>achive</v>
      </c>
      <c r="AC44" t="str">
        <f t="shared" si="3"/>
        <v>achive</v>
      </c>
    </row>
    <row r="45" spans="1:29" x14ac:dyDescent="0.25">
      <c r="A45" s="19" t="s">
        <v>272</v>
      </c>
      <c r="B45" s="19" t="s">
        <v>40</v>
      </c>
      <c r="C45" s="20">
        <v>46119</v>
      </c>
      <c r="D45" s="20">
        <v>46120</v>
      </c>
      <c r="E45" s="20">
        <v>46120</v>
      </c>
      <c r="F45" s="20">
        <v>46120</v>
      </c>
      <c r="G45" s="20"/>
      <c r="H45" s="20"/>
      <c r="I45" s="20">
        <v>46122</v>
      </c>
      <c r="J45" s="20">
        <v>46122</v>
      </c>
      <c r="K45" s="21" t="s">
        <v>23</v>
      </c>
      <c r="L45" s="21" t="s">
        <v>155</v>
      </c>
      <c r="M45" s="22" t="s">
        <v>157</v>
      </c>
      <c r="N45" s="21"/>
      <c r="O45" s="23"/>
      <c r="P45" s="21"/>
      <c r="Q45" s="24" t="s">
        <v>26</v>
      </c>
      <c r="R45" s="25" t="s">
        <v>14</v>
      </c>
      <c r="S45" s="8"/>
      <c r="T45" s="8"/>
      <c r="U45" s="5"/>
      <c r="V45" s="5"/>
      <c r="W45" s="6"/>
      <c r="X45" s="6"/>
      <c r="Y45" s="6"/>
      <c r="Z45">
        <f t="shared" si="0"/>
        <v>0</v>
      </c>
      <c r="AA45">
        <f t="shared" si="1"/>
        <v>0</v>
      </c>
      <c r="AB45" t="str">
        <f t="shared" si="2"/>
        <v>achive</v>
      </c>
      <c r="AC45" t="str">
        <f t="shared" si="3"/>
        <v>achive</v>
      </c>
    </row>
    <row r="46" spans="1:29" x14ac:dyDescent="0.25">
      <c r="A46" s="19" t="s">
        <v>272</v>
      </c>
      <c r="B46" s="19" t="s">
        <v>40</v>
      </c>
      <c r="C46" s="20">
        <v>46119</v>
      </c>
      <c r="D46" s="20">
        <v>46120</v>
      </c>
      <c r="E46" s="20">
        <v>46120</v>
      </c>
      <c r="F46" s="20">
        <v>46120</v>
      </c>
      <c r="G46" s="20"/>
      <c r="H46" s="20"/>
      <c r="I46" s="20">
        <v>46122</v>
      </c>
      <c r="J46" s="20">
        <v>46122</v>
      </c>
      <c r="K46" s="21" t="s">
        <v>23</v>
      </c>
      <c r="L46" s="21" t="s">
        <v>156</v>
      </c>
      <c r="M46" s="22" t="s">
        <v>159</v>
      </c>
      <c r="N46" s="21"/>
      <c r="O46" s="23"/>
      <c r="P46" s="21"/>
      <c r="Q46" s="24" t="s">
        <v>26</v>
      </c>
      <c r="R46" s="25" t="s">
        <v>14</v>
      </c>
      <c r="S46" s="8"/>
      <c r="T46" s="8"/>
      <c r="U46" s="5"/>
      <c r="V46" s="5"/>
      <c r="W46" s="6"/>
      <c r="X46" s="6"/>
      <c r="Y46" s="6"/>
      <c r="Z46">
        <f t="shared" si="0"/>
        <v>0</v>
      </c>
      <c r="AA46">
        <f t="shared" si="1"/>
        <v>0</v>
      </c>
      <c r="AB46" t="str">
        <f t="shared" si="2"/>
        <v>achive</v>
      </c>
      <c r="AC46" t="str">
        <f t="shared" si="3"/>
        <v>achive</v>
      </c>
    </row>
    <row r="47" spans="1:29" x14ac:dyDescent="0.25">
      <c r="A47" s="19" t="s">
        <v>272</v>
      </c>
      <c r="B47" s="19" t="s">
        <v>40</v>
      </c>
      <c r="C47" s="20">
        <v>46120</v>
      </c>
      <c r="D47" s="20">
        <v>46120</v>
      </c>
      <c r="E47" s="20">
        <v>46120</v>
      </c>
      <c r="F47" s="20">
        <v>46120</v>
      </c>
      <c r="G47" s="20"/>
      <c r="H47" s="20"/>
      <c r="I47" s="20">
        <v>46122</v>
      </c>
      <c r="J47" s="20">
        <v>46122</v>
      </c>
      <c r="K47" s="21" t="s">
        <v>23</v>
      </c>
      <c r="L47" s="21" t="s">
        <v>160</v>
      </c>
      <c r="M47" s="22" t="s">
        <v>41</v>
      </c>
      <c r="N47" s="21"/>
      <c r="O47" s="23"/>
      <c r="P47" s="21"/>
      <c r="Q47" s="24" t="s">
        <v>26</v>
      </c>
      <c r="R47" s="24" t="s">
        <v>42</v>
      </c>
      <c r="S47" s="8"/>
      <c r="T47" s="8"/>
      <c r="U47" s="5"/>
      <c r="V47" s="5"/>
      <c r="W47" s="6"/>
      <c r="X47" s="6"/>
      <c r="Y47" s="6"/>
      <c r="Z47">
        <f t="shared" si="0"/>
        <v>0</v>
      </c>
      <c r="AA47">
        <f t="shared" si="1"/>
        <v>0</v>
      </c>
      <c r="AB47" t="str">
        <f t="shared" si="2"/>
        <v>achive</v>
      </c>
      <c r="AC47" t="str">
        <f t="shared" si="3"/>
        <v>achive</v>
      </c>
    </row>
    <row r="48" spans="1:29" x14ac:dyDescent="0.25">
      <c r="A48" s="19" t="s">
        <v>272</v>
      </c>
      <c r="B48" s="19" t="s">
        <v>40</v>
      </c>
      <c r="C48" s="20">
        <v>46119</v>
      </c>
      <c r="D48" s="20">
        <v>46120</v>
      </c>
      <c r="E48" s="20">
        <v>46120</v>
      </c>
      <c r="F48" s="20">
        <v>46120</v>
      </c>
      <c r="G48" s="20"/>
      <c r="H48" s="20"/>
      <c r="I48" s="20">
        <v>46122</v>
      </c>
      <c r="J48" s="20">
        <v>46122</v>
      </c>
      <c r="K48" s="21" t="s">
        <v>23</v>
      </c>
      <c r="L48" s="21" t="s">
        <v>161</v>
      </c>
      <c r="M48" s="22" t="s">
        <v>163</v>
      </c>
      <c r="N48" s="21"/>
      <c r="O48" s="23"/>
      <c r="P48" s="21"/>
      <c r="Q48" s="24" t="s">
        <v>26</v>
      </c>
      <c r="R48" s="25" t="s">
        <v>14</v>
      </c>
      <c r="S48" s="8"/>
      <c r="T48" s="8"/>
      <c r="U48" s="5"/>
      <c r="V48" s="5"/>
      <c r="W48" s="6"/>
      <c r="X48" s="6"/>
      <c r="Y48" s="6"/>
      <c r="Z48">
        <f t="shared" si="0"/>
        <v>0</v>
      </c>
      <c r="AA48">
        <f t="shared" si="1"/>
        <v>0</v>
      </c>
      <c r="AB48" t="str">
        <f t="shared" si="2"/>
        <v>achive</v>
      </c>
      <c r="AC48" t="str">
        <f t="shared" si="3"/>
        <v>achive</v>
      </c>
    </row>
    <row r="49" spans="1:29" x14ac:dyDescent="0.25">
      <c r="A49" s="19" t="s">
        <v>272</v>
      </c>
      <c r="B49" s="19" t="s">
        <v>40</v>
      </c>
      <c r="C49" s="20">
        <v>46120</v>
      </c>
      <c r="D49" s="20">
        <v>46120</v>
      </c>
      <c r="E49" s="20">
        <v>46120</v>
      </c>
      <c r="F49" s="20">
        <v>46120</v>
      </c>
      <c r="G49" s="20"/>
      <c r="H49" s="20"/>
      <c r="I49" s="20">
        <v>46121</v>
      </c>
      <c r="J49" s="20">
        <v>46121</v>
      </c>
      <c r="K49" s="21" t="s">
        <v>23</v>
      </c>
      <c r="L49" s="21" t="s">
        <v>162</v>
      </c>
      <c r="M49" s="22" t="s">
        <v>164</v>
      </c>
      <c r="N49" s="21"/>
      <c r="O49" s="23"/>
      <c r="P49" s="21"/>
      <c r="Q49" s="24" t="s">
        <v>26</v>
      </c>
      <c r="R49" s="25" t="s">
        <v>14</v>
      </c>
      <c r="S49" s="8"/>
      <c r="T49" s="8"/>
      <c r="U49" s="5"/>
      <c r="V49" s="5"/>
      <c r="W49" s="6"/>
      <c r="X49" s="6"/>
      <c r="Y49" s="6"/>
      <c r="Z49">
        <f t="shared" si="0"/>
        <v>0</v>
      </c>
      <c r="AA49">
        <f t="shared" si="1"/>
        <v>0</v>
      </c>
      <c r="AB49" t="str">
        <f t="shared" si="2"/>
        <v>achive</v>
      </c>
      <c r="AC49" t="str">
        <f t="shared" si="3"/>
        <v>achive</v>
      </c>
    </row>
    <row r="50" spans="1:29" x14ac:dyDescent="0.25">
      <c r="A50" s="19" t="s">
        <v>272</v>
      </c>
      <c r="B50" s="19" t="s">
        <v>40</v>
      </c>
      <c r="C50" s="20">
        <v>46121</v>
      </c>
      <c r="D50" s="20">
        <v>46121</v>
      </c>
      <c r="E50" s="20">
        <v>46122</v>
      </c>
      <c r="F50" s="20">
        <v>46125</v>
      </c>
      <c r="G50" s="20"/>
      <c r="H50" s="20"/>
      <c r="I50" s="20">
        <v>46126</v>
      </c>
      <c r="J50" s="20">
        <v>46126</v>
      </c>
      <c r="K50" s="21" t="s">
        <v>23</v>
      </c>
      <c r="L50" s="21" t="s">
        <v>165</v>
      </c>
      <c r="M50" s="22" t="s">
        <v>166</v>
      </c>
      <c r="N50" s="21"/>
      <c r="O50" s="23"/>
      <c r="P50" s="21"/>
      <c r="Q50" s="24" t="s">
        <v>26</v>
      </c>
      <c r="R50" s="25" t="s">
        <v>14</v>
      </c>
      <c r="S50" s="8"/>
      <c r="T50" s="8"/>
      <c r="U50" s="5"/>
      <c r="V50" s="5"/>
      <c r="W50" s="6"/>
      <c r="X50" s="6"/>
      <c r="Y50" s="6"/>
      <c r="Z50">
        <f t="shared" si="0"/>
        <v>1</v>
      </c>
      <c r="AA50">
        <f t="shared" si="1"/>
        <v>4</v>
      </c>
      <c r="AB50" t="str">
        <f t="shared" si="2"/>
        <v>achive</v>
      </c>
      <c r="AC50" t="str">
        <f t="shared" si="3"/>
        <v>achive</v>
      </c>
    </row>
    <row r="51" spans="1:29" x14ac:dyDescent="0.25">
      <c r="A51" s="19" t="s">
        <v>272</v>
      </c>
      <c r="B51" s="19" t="s">
        <v>24</v>
      </c>
      <c r="C51" s="20">
        <v>46122</v>
      </c>
      <c r="D51" s="20">
        <v>46122</v>
      </c>
      <c r="E51" s="20">
        <v>46122</v>
      </c>
      <c r="F51" s="20">
        <v>46126</v>
      </c>
      <c r="G51" s="20">
        <v>46136</v>
      </c>
      <c r="H51" s="20"/>
      <c r="I51" s="20">
        <v>46136</v>
      </c>
      <c r="J51" s="20">
        <v>46136</v>
      </c>
      <c r="K51" s="21" t="s">
        <v>23</v>
      </c>
      <c r="L51" s="21" t="s">
        <v>167</v>
      </c>
      <c r="M51" s="22" t="s">
        <v>29</v>
      </c>
      <c r="N51" s="21"/>
      <c r="O51" s="23"/>
      <c r="P51" s="21"/>
      <c r="Q51" s="24" t="s">
        <v>26</v>
      </c>
      <c r="R51" s="25" t="s">
        <v>22</v>
      </c>
      <c r="S51" s="8"/>
      <c r="T51" s="8"/>
      <c r="U51" s="5"/>
      <c r="V51" s="5"/>
      <c r="W51" s="6"/>
      <c r="X51" s="6"/>
      <c r="Y51" s="6"/>
      <c r="Z51">
        <f t="shared" si="0"/>
        <v>0</v>
      </c>
      <c r="AA51">
        <f t="shared" si="1"/>
        <v>14</v>
      </c>
      <c r="AB51" t="str">
        <f t="shared" si="2"/>
        <v>achive</v>
      </c>
      <c r="AC51" t="str">
        <f t="shared" si="3"/>
        <v>tidak achive</v>
      </c>
    </row>
    <row r="52" spans="1:29" x14ac:dyDescent="0.25">
      <c r="A52" s="19" t="s">
        <v>272</v>
      </c>
      <c r="B52" s="19" t="s">
        <v>15</v>
      </c>
      <c r="C52" s="20">
        <v>46122</v>
      </c>
      <c r="D52" s="20">
        <v>46122</v>
      </c>
      <c r="E52" s="20">
        <v>46122</v>
      </c>
      <c r="F52" s="20">
        <v>46132</v>
      </c>
      <c r="G52" s="20"/>
      <c r="H52" s="20"/>
      <c r="I52" s="20">
        <v>46127</v>
      </c>
      <c r="J52" s="20">
        <v>46127</v>
      </c>
      <c r="K52" s="49" t="s">
        <v>23</v>
      </c>
      <c r="L52" s="21" t="s">
        <v>168</v>
      </c>
      <c r="M52" s="22" t="s">
        <v>169</v>
      </c>
      <c r="N52" s="21"/>
      <c r="O52" s="23"/>
      <c r="P52" s="21"/>
      <c r="Q52" s="24" t="s">
        <v>26</v>
      </c>
      <c r="R52" s="18"/>
      <c r="S52" s="8"/>
      <c r="T52" s="8"/>
      <c r="U52" s="5"/>
      <c r="V52" s="5"/>
      <c r="W52" s="6"/>
      <c r="X52" s="6"/>
      <c r="Y52" s="6"/>
      <c r="Z52">
        <f t="shared" si="0"/>
        <v>0</v>
      </c>
      <c r="AA52">
        <f t="shared" si="1"/>
        <v>10</v>
      </c>
      <c r="AB52" t="str">
        <f t="shared" si="2"/>
        <v>achive</v>
      </c>
      <c r="AC52" t="str">
        <f t="shared" si="3"/>
        <v>achive</v>
      </c>
    </row>
    <row r="53" spans="1:29" x14ac:dyDescent="0.25">
      <c r="A53" s="19" t="s">
        <v>272</v>
      </c>
      <c r="B53" s="19" t="s">
        <v>24</v>
      </c>
      <c r="C53" s="20">
        <v>46125</v>
      </c>
      <c r="D53" s="20">
        <v>46125</v>
      </c>
      <c r="E53" s="20">
        <v>46125</v>
      </c>
      <c r="F53" s="20">
        <v>46125</v>
      </c>
      <c r="G53" s="20"/>
      <c r="H53" s="20"/>
      <c r="I53" s="20">
        <v>46126</v>
      </c>
      <c r="J53" s="20">
        <v>46126</v>
      </c>
      <c r="K53" s="21" t="s">
        <v>23</v>
      </c>
      <c r="L53" s="21" t="s">
        <v>170</v>
      </c>
      <c r="M53" s="22" t="s">
        <v>171</v>
      </c>
      <c r="N53" s="21"/>
      <c r="O53" s="23"/>
      <c r="P53" s="21"/>
      <c r="Q53" s="24" t="s">
        <v>26</v>
      </c>
      <c r="R53" s="25" t="s">
        <v>14</v>
      </c>
      <c r="S53" s="8"/>
      <c r="T53" s="8"/>
      <c r="U53" s="5"/>
      <c r="V53" s="5"/>
      <c r="W53" s="6"/>
      <c r="X53" s="6"/>
      <c r="Y53" s="6"/>
      <c r="Z53">
        <f t="shared" si="0"/>
        <v>0</v>
      </c>
      <c r="AA53">
        <f t="shared" si="1"/>
        <v>0</v>
      </c>
      <c r="AB53" t="str">
        <f t="shared" si="2"/>
        <v>achive</v>
      </c>
      <c r="AC53" t="str">
        <f t="shared" si="3"/>
        <v>achive</v>
      </c>
    </row>
    <row r="54" spans="1:29" x14ac:dyDescent="0.25">
      <c r="A54" s="19" t="s">
        <v>272</v>
      </c>
      <c r="B54" s="19" t="s">
        <v>40</v>
      </c>
      <c r="C54" s="20">
        <v>46125</v>
      </c>
      <c r="D54" s="20">
        <v>46126</v>
      </c>
      <c r="E54" s="20">
        <v>46129</v>
      </c>
      <c r="F54" s="20">
        <v>46132</v>
      </c>
      <c r="G54" s="20"/>
      <c r="H54" s="20"/>
      <c r="I54" s="20">
        <v>46132</v>
      </c>
      <c r="J54" s="20">
        <v>46132</v>
      </c>
      <c r="K54" s="21" t="s">
        <v>23</v>
      </c>
      <c r="L54" s="21" t="s">
        <v>172</v>
      </c>
      <c r="M54" s="22" t="s">
        <v>175</v>
      </c>
      <c r="N54" s="21"/>
      <c r="O54" s="23"/>
      <c r="P54" s="21"/>
      <c r="Q54" s="24" t="s">
        <v>26</v>
      </c>
      <c r="R54" s="25" t="s">
        <v>14</v>
      </c>
      <c r="S54" s="8"/>
      <c r="T54" s="8"/>
      <c r="U54" s="5"/>
      <c r="V54" s="5"/>
      <c r="W54" s="6"/>
      <c r="X54" s="6"/>
      <c r="Y54" s="6"/>
      <c r="Z54">
        <f t="shared" si="0"/>
        <v>3</v>
      </c>
      <c r="AA54">
        <f t="shared" si="1"/>
        <v>6</v>
      </c>
      <c r="AB54" t="str">
        <f t="shared" si="2"/>
        <v>achive</v>
      </c>
      <c r="AC54" t="str">
        <f t="shared" si="3"/>
        <v>achive</v>
      </c>
    </row>
    <row r="55" spans="1:29" x14ac:dyDescent="0.25">
      <c r="A55" s="19" t="s">
        <v>272</v>
      </c>
      <c r="B55" s="19" t="s">
        <v>40</v>
      </c>
      <c r="C55" s="20">
        <v>46125</v>
      </c>
      <c r="D55" s="20">
        <v>46126</v>
      </c>
      <c r="E55" s="20">
        <v>46129</v>
      </c>
      <c r="F55" s="20">
        <v>46132</v>
      </c>
      <c r="G55" s="20"/>
      <c r="H55" s="20"/>
      <c r="I55" s="20">
        <v>46139</v>
      </c>
      <c r="J55" s="20">
        <v>46139</v>
      </c>
      <c r="K55" s="21" t="s">
        <v>23</v>
      </c>
      <c r="L55" s="21" t="s">
        <v>173</v>
      </c>
      <c r="M55" s="22" t="s">
        <v>174</v>
      </c>
      <c r="N55" s="21"/>
      <c r="O55" s="23"/>
      <c r="P55" s="21"/>
      <c r="Q55" s="24" t="s">
        <v>26</v>
      </c>
      <c r="R55" s="25" t="s">
        <v>14</v>
      </c>
      <c r="S55" s="8"/>
      <c r="T55" s="8"/>
      <c r="U55" s="5"/>
      <c r="V55" s="5"/>
      <c r="W55" s="6"/>
      <c r="X55" s="6"/>
      <c r="Y55" s="6"/>
      <c r="Z55">
        <f t="shared" si="0"/>
        <v>3</v>
      </c>
      <c r="AA55">
        <f t="shared" si="1"/>
        <v>6</v>
      </c>
      <c r="AB55" t="str">
        <f t="shared" si="2"/>
        <v>achive</v>
      </c>
      <c r="AC55" t="str">
        <f t="shared" si="3"/>
        <v>achive</v>
      </c>
    </row>
    <row r="56" spans="1:29" x14ac:dyDescent="0.25">
      <c r="A56" s="19" t="s">
        <v>272</v>
      </c>
      <c r="B56" s="19" t="s">
        <v>40</v>
      </c>
      <c r="C56" s="20">
        <v>46125</v>
      </c>
      <c r="D56" s="20">
        <v>46126</v>
      </c>
      <c r="E56" s="20">
        <v>46129</v>
      </c>
      <c r="F56" s="20">
        <v>46132</v>
      </c>
      <c r="G56" s="20"/>
      <c r="H56" s="20"/>
      <c r="I56" s="20">
        <v>46133</v>
      </c>
      <c r="J56" s="20">
        <v>46133</v>
      </c>
      <c r="K56" s="21" t="s">
        <v>23</v>
      </c>
      <c r="L56" s="21" t="s">
        <v>176</v>
      </c>
      <c r="M56" s="22" t="s">
        <v>143</v>
      </c>
      <c r="N56" s="21"/>
      <c r="O56" s="23"/>
      <c r="P56" s="21"/>
      <c r="Q56" s="24" t="s">
        <v>26</v>
      </c>
      <c r="R56" s="24" t="s">
        <v>42</v>
      </c>
      <c r="S56" s="8"/>
      <c r="T56" s="8"/>
      <c r="U56" s="5"/>
      <c r="V56" s="5"/>
      <c r="W56" s="6"/>
      <c r="X56" s="6"/>
      <c r="Y56" s="6"/>
      <c r="Z56">
        <f t="shared" si="0"/>
        <v>3</v>
      </c>
      <c r="AA56">
        <f t="shared" si="1"/>
        <v>6</v>
      </c>
      <c r="AB56" t="str">
        <f t="shared" si="2"/>
        <v>achive</v>
      </c>
      <c r="AC56" t="str">
        <f t="shared" si="3"/>
        <v>achive</v>
      </c>
    </row>
    <row r="57" spans="1:29" x14ac:dyDescent="0.25">
      <c r="A57" s="68" t="s">
        <v>272</v>
      </c>
      <c r="B57" s="68" t="s">
        <v>24</v>
      </c>
      <c r="C57" s="69">
        <v>46129</v>
      </c>
      <c r="D57" s="69">
        <v>46132</v>
      </c>
      <c r="E57" s="69">
        <v>46129</v>
      </c>
      <c r="F57" s="69">
        <v>46133</v>
      </c>
      <c r="G57" s="69">
        <v>46142</v>
      </c>
      <c r="H57" s="69"/>
      <c r="I57" s="69"/>
      <c r="J57" s="69"/>
      <c r="K57" s="70"/>
      <c r="L57" s="70" t="s">
        <v>184</v>
      </c>
      <c r="M57" s="71" t="s">
        <v>185</v>
      </c>
      <c r="N57" s="70"/>
      <c r="O57" s="72"/>
      <c r="P57" s="70" t="s">
        <v>390</v>
      </c>
      <c r="Q57" s="73" t="s">
        <v>26</v>
      </c>
      <c r="R57" s="74" t="s">
        <v>22</v>
      </c>
      <c r="S57" s="74" t="s">
        <v>65</v>
      </c>
      <c r="T57" s="74" t="s">
        <v>66</v>
      </c>
      <c r="U57" s="5"/>
      <c r="V57" s="5"/>
      <c r="W57" s="6"/>
      <c r="X57" s="6"/>
      <c r="Y57" s="6"/>
      <c r="Z57">
        <f t="shared" si="0"/>
        <v>-3</v>
      </c>
      <c r="AA57">
        <f t="shared" si="1"/>
        <v>10</v>
      </c>
      <c r="AB57" t="str">
        <f t="shared" si="2"/>
        <v>achive</v>
      </c>
      <c r="AC57" t="str">
        <f t="shared" si="3"/>
        <v>achive</v>
      </c>
    </row>
    <row r="58" spans="1:29" x14ac:dyDescent="0.25">
      <c r="A58" s="19" t="s">
        <v>272</v>
      </c>
      <c r="B58" s="19" t="s">
        <v>40</v>
      </c>
      <c r="C58" s="20">
        <v>46132</v>
      </c>
      <c r="D58" s="20">
        <v>46132</v>
      </c>
      <c r="E58" s="20">
        <v>46133</v>
      </c>
      <c r="F58" s="20">
        <v>46133</v>
      </c>
      <c r="G58" s="20"/>
      <c r="H58" s="20"/>
      <c r="I58" s="20">
        <v>46133</v>
      </c>
      <c r="J58" s="20">
        <v>46133</v>
      </c>
      <c r="K58" s="21" t="s">
        <v>23</v>
      </c>
      <c r="L58" s="21" t="s">
        <v>186</v>
      </c>
      <c r="M58" s="22" t="s">
        <v>187</v>
      </c>
      <c r="N58" s="21"/>
      <c r="O58" s="23"/>
      <c r="P58" s="21"/>
      <c r="Q58" s="24" t="s">
        <v>26</v>
      </c>
      <c r="R58" s="25" t="s">
        <v>14</v>
      </c>
      <c r="S58" s="8"/>
      <c r="T58" s="8"/>
      <c r="U58" s="5"/>
      <c r="V58" s="5"/>
      <c r="W58" s="6"/>
      <c r="X58" s="6"/>
      <c r="Y58" s="6"/>
      <c r="Z58">
        <f t="shared" si="0"/>
        <v>1</v>
      </c>
      <c r="AA58">
        <f t="shared" si="1"/>
        <v>1</v>
      </c>
      <c r="AB58" t="str">
        <f t="shared" si="2"/>
        <v>achive</v>
      </c>
      <c r="AC58" t="str">
        <f t="shared" si="3"/>
        <v>achive</v>
      </c>
    </row>
    <row r="59" spans="1:29" x14ac:dyDescent="0.25">
      <c r="A59" s="19" t="s">
        <v>272</v>
      </c>
      <c r="B59" s="19" t="s">
        <v>15</v>
      </c>
      <c r="C59" s="20">
        <v>46132</v>
      </c>
      <c r="D59" s="20">
        <v>46132</v>
      </c>
      <c r="E59" s="20">
        <v>46132</v>
      </c>
      <c r="F59" s="20">
        <v>46133</v>
      </c>
      <c r="G59" s="20">
        <v>46154</v>
      </c>
      <c r="H59" s="20">
        <v>46154</v>
      </c>
      <c r="I59" s="20">
        <v>46154</v>
      </c>
      <c r="J59" s="20">
        <v>46154</v>
      </c>
      <c r="K59" s="21" t="s">
        <v>23</v>
      </c>
      <c r="L59" s="21" t="s">
        <v>188</v>
      </c>
      <c r="M59" s="22" t="s">
        <v>189</v>
      </c>
      <c r="N59" s="21"/>
      <c r="O59" s="23"/>
      <c r="P59" s="21"/>
      <c r="Q59" s="24" t="s">
        <v>16</v>
      </c>
      <c r="R59" s="24" t="s">
        <v>26</v>
      </c>
      <c r="S59" s="25" t="s">
        <v>65</v>
      </c>
      <c r="T59" s="25" t="s">
        <v>66</v>
      </c>
      <c r="U59" s="5"/>
      <c r="V59" s="5"/>
      <c r="W59" s="6"/>
      <c r="X59" s="6"/>
      <c r="Y59" s="6"/>
      <c r="Z59">
        <f t="shared" si="0"/>
        <v>0</v>
      </c>
      <c r="AA59">
        <f t="shared" si="1"/>
        <v>22</v>
      </c>
      <c r="AB59" t="str">
        <f t="shared" si="2"/>
        <v>achive</v>
      </c>
      <c r="AC59" t="str">
        <f t="shared" si="3"/>
        <v>tidak achive</v>
      </c>
    </row>
    <row r="60" spans="1:29" x14ac:dyDescent="0.25">
      <c r="A60" s="19" t="s">
        <v>272</v>
      </c>
      <c r="B60" s="19" t="s">
        <v>15</v>
      </c>
      <c r="C60" s="20">
        <v>46132</v>
      </c>
      <c r="D60" s="20">
        <v>46132</v>
      </c>
      <c r="E60" s="20">
        <v>46132</v>
      </c>
      <c r="F60" s="20">
        <v>46135</v>
      </c>
      <c r="G60" s="20"/>
      <c r="H60" s="20"/>
      <c r="I60" s="20">
        <v>46136</v>
      </c>
      <c r="J60" s="20">
        <v>46136</v>
      </c>
      <c r="K60" s="21" t="s">
        <v>23</v>
      </c>
      <c r="L60" s="21" t="s">
        <v>190</v>
      </c>
      <c r="M60" s="22" t="s">
        <v>191</v>
      </c>
      <c r="N60" s="21"/>
      <c r="O60" s="23"/>
      <c r="P60" s="21"/>
      <c r="Q60" s="24" t="s">
        <v>16</v>
      </c>
      <c r="R60" s="24" t="s">
        <v>26</v>
      </c>
      <c r="S60" s="8"/>
      <c r="T60" s="8"/>
      <c r="U60" s="5"/>
      <c r="V60" s="5"/>
      <c r="W60" s="6"/>
      <c r="X60" s="6"/>
      <c r="Y60" s="6"/>
      <c r="Z60">
        <f t="shared" si="0"/>
        <v>0</v>
      </c>
      <c r="AA60">
        <f t="shared" si="1"/>
        <v>3</v>
      </c>
      <c r="AB60" t="str">
        <f t="shared" si="2"/>
        <v>achive</v>
      </c>
      <c r="AC60" t="str">
        <f t="shared" si="3"/>
        <v>achive</v>
      </c>
    </row>
    <row r="61" spans="1:29" x14ac:dyDescent="0.25">
      <c r="A61" s="19" t="s">
        <v>272</v>
      </c>
      <c r="B61" s="19" t="s">
        <v>40</v>
      </c>
      <c r="C61" s="20">
        <v>46136</v>
      </c>
      <c r="D61" s="20">
        <v>46136</v>
      </c>
      <c r="E61" s="20">
        <v>46138</v>
      </c>
      <c r="F61" s="20">
        <v>46139</v>
      </c>
      <c r="G61" s="20"/>
      <c r="H61" s="20"/>
      <c r="I61" s="20">
        <v>46139</v>
      </c>
      <c r="J61" s="20">
        <v>46139</v>
      </c>
      <c r="K61" s="21" t="s">
        <v>23</v>
      </c>
      <c r="L61" s="21" t="s">
        <v>192</v>
      </c>
      <c r="M61" s="22" t="s">
        <v>193</v>
      </c>
      <c r="N61" s="21"/>
      <c r="O61" s="23"/>
      <c r="P61" s="21"/>
      <c r="Q61" s="24" t="s">
        <v>26</v>
      </c>
      <c r="R61" s="24" t="s">
        <v>42</v>
      </c>
      <c r="S61" s="8"/>
      <c r="T61" s="8"/>
      <c r="U61" s="5"/>
      <c r="V61" s="5"/>
      <c r="W61" s="6"/>
      <c r="X61" s="6"/>
      <c r="Y61" s="6"/>
      <c r="Z61">
        <f t="shared" si="0"/>
        <v>2</v>
      </c>
      <c r="AA61">
        <f t="shared" si="1"/>
        <v>3</v>
      </c>
      <c r="AB61" t="str">
        <f t="shared" si="2"/>
        <v>achive</v>
      </c>
      <c r="AC61" t="str">
        <f t="shared" si="3"/>
        <v>achive</v>
      </c>
    </row>
    <row r="62" spans="1:29" x14ac:dyDescent="0.25">
      <c r="A62" s="19" t="s">
        <v>272</v>
      </c>
      <c r="B62" s="19" t="s">
        <v>40</v>
      </c>
      <c r="C62" s="20">
        <v>46148</v>
      </c>
      <c r="D62" s="20">
        <v>46148</v>
      </c>
      <c r="E62" s="20">
        <v>46148</v>
      </c>
      <c r="F62" s="20">
        <v>46154</v>
      </c>
      <c r="G62" s="20"/>
      <c r="H62" s="20"/>
      <c r="I62" s="20">
        <v>46154</v>
      </c>
      <c r="J62" s="20">
        <v>46154</v>
      </c>
      <c r="K62" s="21" t="s">
        <v>23</v>
      </c>
      <c r="L62" s="21" t="s">
        <v>198</v>
      </c>
      <c r="M62" s="22" t="s">
        <v>199</v>
      </c>
      <c r="N62" s="21"/>
      <c r="O62" s="23"/>
      <c r="P62" s="21"/>
      <c r="Q62" s="24" t="s">
        <v>26</v>
      </c>
      <c r="R62" s="25" t="s">
        <v>14</v>
      </c>
      <c r="S62" s="8"/>
      <c r="T62" s="8"/>
      <c r="U62" s="5"/>
      <c r="V62" s="5"/>
      <c r="W62" s="6"/>
      <c r="X62" s="6"/>
      <c r="Y62" s="6"/>
      <c r="Z62">
        <f t="shared" si="0"/>
        <v>0</v>
      </c>
      <c r="AA62">
        <f t="shared" si="1"/>
        <v>6</v>
      </c>
      <c r="AB62" t="str">
        <f t="shared" si="2"/>
        <v>achive</v>
      </c>
      <c r="AC62" t="str">
        <f t="shared" si="3"/>
        <v>achive</v>
      </c>
    </row>
    <row r="63" spans="1:29" x14ac:dyDescent="0.25">
      <c r="A63" s="19" t="s">
        <v>272</v>
      </c>
      <c r="B63" s="19" t="s">
        <v>60</v>
      </c>
      <c r="C63" s="20">
        <v>46149</v>
      </c>
      <c r="D63" s="20">
        <v>46149</v>
      </c>
      <c r="E63" s="20">
        <v>46149</v>
      </c>
      <c r="F63" s="20">
        <v>46155</v>
      </c>
      <c r="G63" s="20">
        <v>46181</v>
      </c>
      <c r="H63" s="20"/>
      <c r="I63" s="20">
        <v>46266</v>
      </c>
      <c r="J63" s="20">
        <v>46266</v>
      </c>
      <c r="K63" s="21" t="s">
        <v>23</v>
      </c>
      <c r="L63" s="21" t="s">
        <v>200</v>
      </c>
      <c r="M63" s="22" t="s">
        <v>362</v>
      </c>
      <c r="N63" s="21"/>
      <c r="O63" s="23"/>
      <c r="P63" s="21" t="s">
        <v>277</v>
      </c>
      <c r="Q63" s="24" t="s">
        <v>26</v>
      </c>
      <c r="R63" s="25" t="s">
        <v>14</v>
      </c>
      <c r="S63" s="25" t="s">
        <v>22</v>
      </c>
      <c r="T63" s="25" t="s">
        <v>64</v>
      </c>
      <c r="U63" s="25" t="s">
        <v>66</v>
      </c>
      <c r="V63" s="25" t="s">
        <v>205</v>
      </c>
      <c r="W63" s="6"/>
      <c r="X63" s="6"/>
      <c r="Y63" s="6"/>
      <c r="Z63">
        <f t="shared" si="0"/>
        <v>0</v>
      </c>
      <c r="AA63">
        <f t="shared" si="1"/>
        <v>32</v>
      </c>
      <c r="AB63" t="str">
        <f t="shared" si="2"/>
        <v>achive</v>
      </c>
      <c r="AC63" t="str">
        <f t="shared" si="3"/>
        <v>tidak achive</v>
      </c>
    </row>
    <row r="64" spans="1:29" x14ac:dyDescent="0.25">
      <c r="A64" s="19" t="s">
        <v>272</v>
      </c>
      <c r="B64" s="19" t="s">
        <v>15</v>
      </c>
      <c r="C64" s="20">
        <v>46149</v>
      </c>
      <c r="D64" s="20">
        <v>46150</v>
      </c>
      <c r="E64" s="20">
        <v>46150</v>
      </c>
      <c r="F64" s="20">
        <v>46160</v>
      </c>
      <c r="G64" s="20"/>
      <c r="H64" s="20"/>
      <c r="I64" s="20">
        <v>46160</v>
      </c>
      <c r="J64" s="20">
        <v>46160</v>
      </c>
      <c r="K64" s="21" t="s">
        <v>23</v>
      </c>
      <c r="L64" s="21" t="s">
        <v>202</v>
      </c>
      <c r="M64" s="22" t="s">
        <v>201</v>
      </c>
      <c r="N64" s="21"/>
      <c r="O64" s="23"/>
      <c r="P64" s="21"/>
      <c r="Q64" s="24" t="s">
        <v>16</v>
      </c>
      <c r="R64" s="24" t="s">
        <v>26</v>
      </c>
      <c r="S64" s="8"/>
      <c r="T64" s="8"/>
      <c r="U64" s="5"/>
      <c r="V64" s="5"/>
      <c r="W64" s="6"/>
      <c r="X64" s="6"/>
      <c r="Y64" s="6"/>
      <c r="Z64">
        <f t="shared" si="0"/>
        <v>0</v>
      </c>
      <c r="AA64">
        <f t="shared" si="1"/>
        <v>10</v>
      </c>
      <c r="AB64" t="str">
        <f t="shared" si="2"/>
        <v>achive</v>
      </c>
      <c r="AC64" t="str">
        <f t="shared" si="3"/>
        <v>achive</v>
      </c>
    </row>
    <row r="65" spans="1:29" x14ac:dyDescent="0.25">
      <c r="A65" s="19" t="s">
        <v>272</v>
      </c>
      <c r="B65" s="19" t="s">
        <v>25</v>
      </c>
      <c r="C65" s="20">
        <v>46153</v>
      </c>
      <c r="D65" s="20">
        <v>46154</v>
      </c>
      <c r="E65" s="20">
        <v>46154</v>
      </c>
      <c r="F65" s="20">
        <v>46154</v>
      </c>
      <c r="G65" s="20"/>
      <c r="H65" s="20"/>
      <c r="I65" s="20">
        <v>46154</v>
      </c>
      <c r="J65" s="20">
        <v>46154</v>
      </c>
      <c r="K65" s="21" t="s">
        <v>23</v>
      </c>
      <c r="L65" s="21" t="s">
        <v>203</v>
      </c>
      <c r="M65" s="22" t="s">
        <v>204</v>
      </c>
      <c r="N65" s="21"/>
      <c r="O65" s="23"/>
      <c r="P65" s="21"/>
      <c r="Q65" s="24" t="s">
        <v>16</v>
      </c>
      <c r="R65" s="24" t="s">
        <v>26</v>
      </c>
      <c r="S65" s="8"/>
      <c r="T65" s="8"/>
      <c r="U65" s="5"/>
      <c r="V65" s="5"/>
      <c r="W65" s="6"/>
      <c r="X65" s="6"/>
      <c r="Y65" s="6"/>
      <c r="Z65">
        <f t="shared" si="0"/>
        <v>0</v>
      </c>
      <c r="AA65">
        <f t="shared" si="1"/>
        <v>0</v>
      </c>
      <c r="AB65" t="str">
        <f t="shared" si="2"/>
        <v>achive</v>
      </c>
      <c r="AC65" t="str">
        <f t="shared" si="3"/>
        <v>achive</v>
      </c>
    </row>
    <row r="66" spans="1:29" x14ac:dyDescent="0.25">
      <c r="A66" s="19" t="s">
        <v>272</v>
      </c>
      <c r="B66" s="19" t="s">
        <v>24</v>
      </c>
      <c r="C66" s="20">
        <v>46155</v>
      </c>
      <c r="D66" s="20">
        <v>46156</v>
      </c>
      <c r="E66" s="20">
        <v>46155</v>
      </c>
      <c r="F66" s="20">
        <v>46157</v>
      </c>
      <c r="G66" s="20"/>
      <c r="H66" s="20"/>
      <c r="I66" s="20">
        <v>46161</v>
      </c>
      <c r="J66" s="20">
        <v>46161</v>
      </c>
      <c r="K66" s="21" t="s">
        <v>23</v>
      </c>
      <c r="L66" s="21" t="s">
        <v>206</v>
      </c>
      <c r="M66" s="22" t="s">
        <v>207</v>
      </c>
      <c r="N66" s="21"/>
      <c r="O66" s="23"/>
      <c r="P66" s="21"/>
      <c r="Q66" s="24" t="s">
        <v>26</v>
      </c>
      <c r="R66" s="24" t="s">
        <v>146</v>
      </c>
      <c r="S66" s="24" t="s">
        <v>42</v>
      </c>
      <c r="T66" s="8"/>
      <c r="U66" s="5"/>
      <c r="V66" s="5"/>
      <c r="W66" s="6"/>
      <c r="X66" s="6"/>
      <c r="Y66" s="6"/>
      <c r="Z66">
        <f t="shared" si="0"/>
        <v>-1</v>
      </c>
      <c r="AA66">
        <f t="shared" si="1"/>
        <v>1</v>
      </c>
      <c r="AB66" t="str">
        <f t="shared" si="2"/>
        <v>achive</v>
      </c>
      <c r="AC66" t="str">
        <f t="shared" si="3"/>
        <v>achive</v>
      </c>
    </row>
    <row r="67" spans="1:29" x14ac:dyDescent="0.25">
      <c r="A67" s="19" t="s">
        <v>272</v>
      </c>
      <c r="B67" s="19" t="s">
        <v>24</v>
      </c>
      <c r="C67" s="20">
        <v>46155</v>
      </c>
      <c r="D67" s="20">
        <v>46156</v>
      </c>
      <c r="E67" s="20">
        <v>46155</v>
      </c>
      <c r="F67" s="20">
        <v>46157</v>
      </c>
      <c r="G67" s="20">
        <v>46161</v>
      </c>
      <c r="H67" s="20"/>
      <c r="I67" s="20">
        <v>46161</v>
      </c>
      <c r="J67" s="20">
        <v>46161</v>
      </c>
      <c r="K67" s="21" t="s">
        <v>23</v>
      </c>
      <c r="L67" s="21" t="s">
        <v>208</v>
      </c>
      <c r="M67" s="22" t="s">
        <v>209</v>
      </c>
      <c r="N67" s="21"/>
      <c r="O67" s="23"/>
      <c r="P67" s="21"/>
      <c r="Q67" s="24" t="s">
        <v>26</v>
      </c>
      <c r="R67" s="25" t="s">
        <v>22</v>
      </c>
      <c r="S67" s="8"/>
      <c r="T67" s="8"/>
      <c r="U67" s="5"/>
      <c r="V67" s="5"/>
      <c r="W67" s="6"/>
      <c r="X67" s="6"/>
      <c r="Y67" s="6"/>
      <c r="Z67">
        <f t="shared" si="0"/>
        <v>-1</v>
      </c>
      <c r="AA67">
        <f t="shared" si="1"/>
        <v>5</v>
      </c>
      <c r="AB67" t="str">
        <f t="shared" si="2"/>
        <v>achive</v>
      </c>
      <c r="AC67" t="str">
        <f t="shared" si="3"/>
        <v>achive</v>
      </c>
    </row>
    <row r="68" spans="1:29" x14ac:dyDescent="0.25">
      <c r="A68" s="19" t="s">
        <v>272</v>
      </c>
      <c r="B68" s="19" t="s">
        <v>24</v>
      </c>
      <c r="C68" s="20">
        <v>46149</v>
      </c>
      <c r="D68" s="20">
        <v>46157</v>
      </c>
      <c r="E68" s="20">
        <v>46157</v>
      </c>
      <c r="F68" s="20">
        <v>46160</v>
      </c>
      <c r="G68" s="20"/>
      <c r="H68" s="20"/>
      <c r="I68" s="20">
        <v>46160</v>
      </c>
      <c r="J68" s="20">
        <v>46160</v>
      </c>
      <c r="K68" s="21" t="s">
        <v>23</v>
      </c>
      <c r="L68" s="21" t="s">
        <v>210</v>
      </c>
      <c r="M68" s="22" t="s">
        <v>211</v>
      </c>
      <c r="N68" s="21"/>
      <c r="O68" s="23"/>
      <c r="P68" s="21"/>
      <c r="Q68" s="24" t="s">
        <v>16</v>
      </c>
      <c r="R68" s="24" t="s">
        <v>26</v>
      </c>
      <c r="S68" s="8"/>
      <c r="T68" s="8"/>
      <c r="U68" s="5"/>
      <c r="V68" s="5"/>
      <c r="W68" s="6"/>
      <c r="X68" s="6"/>
      <c r="Y68" s="6"/>
      <c r="Z68">
        <f t="shared" si="0"/>
        <v>0</v>
      </c>
      <c r="AA68">
        <f t="shared" si="1"/>
        <v>3</v>
      </c>
      <c r="AB68" t="str">
        <f t="shared" si="2"/>
        <v>achive</v>
      </c>
      <c r="AC68" t="str">
        <f t="shared" si="3"/>
        <v>achive</v>
      </c>
    </row>
    <row r="69" spans="1:29" x14ac:dyDescent="0.25">
      <c r="A69" s="19" t="s">
        <v>272</v>
      </c>
      <c r="B69" s="13" t="s">
        <v>107</v>
      </c>
      <c r="C69" s="14">
        <v>46155</v>
      </c>
      <c r="D69" s="14">
        <v>46157</v>
      </c>
      <c r="E69" s="14">
        <v>46155</v>
      </c>
      <c r="F69" s="20">
        <v>46160</v>
      </c>
      <c r="G69" s="20">
        <v>46168</v>
      </c>
      <c r="H69" s="14"/>
      <c r="I69" s="14">
        <v>46160</v>
      </c>
      <c r="J69" s="14">
        <v>46160</v>
      </c>
      <c r="K69" s="15" t="s">
        <v>23</v>
      </c>
      <c r="L69" s="15" t="s">
        <v>212</v>
      </c>
      <c r="M69" s="16" t="s">
        <v>213</v>
      </c>
      <c r="N69" s="15"/>
      <c r="O69" s="17"/>
      <c r="P69" s="15" t="s">
        <v>276</v>
      </c>
      <c r="Q69" s="18" t="s">
        <v>16</v>
      </c>
      <c r="R69" s="18" t="s">
        <v>26</v>
      </c>
      <c r="S69" s="8" t="s">
        <v>63</v>
      </c>
      <c r="T69" s="8" t="s">
        <v>64</v>
      </c>
      <c r="U69" s="8" t="s">
        <v>65</v>
      </c>
      <c r="V69" s="8" t="s">
        <v>66</v>
      </c>
      <c r="W69" s="6"/>
      <c r="X69" s="6"/>
      <c r="Y69" s="6"/>
      <c r="Z69">
        <f t="shared" si="0"/>
        <v>-2</v>
      </c>
      <c r="AA69">
        <f t="shared" si="1"/>
        <v>11</v>
      </c>
      <c r="AB69" t="str">
        <f t="shared" si="2"/>
        <v>achive</v>
      </c>
      <c r="AC69" t="str">
        <f t="shared" si="3"/>
        <v>tidak achive</v>
      </c>
    </row>
    <row r="70" spans="1:29" x14ac:dyDescent="0.25">
      <c r="A70" s="19" t="s">
        <v>272</v>
      </c>
      <c r="B70" s="19" t="s">
        <v>24</v>
      </c>
      <c r="C70" s="20">
        <v>46155</v>
      </c>
      <c r="D70" s="20">
        <v>46157</v>
      </c>
      <c r="E70" s="20">
        <v>46155</v>
      </c>
      <c r="F70" s="20">
        <v>46157</v>
      </c>
      <c r="G70" s="20"/>
      <c r="H70" s="20"/>
      <c r="I70" s="20">
        <v>46160</v>
      </c>
      <c r="J70" s="20">
        <v>46160</v>
      </c>
      <c r="K70" s="21" t="s">
        <v>23</v>
      </c>
      <c r="L70" s="21" t="s">
        <v>214</v>
      </c>
      <c r="M70" s="22" t="s">
        <v>215</v>
      </c>
      <c r="N70" s="21"/>
      <c r="O70" s="23"/>
      <c r="P70" s="21"/>
      <c r="Q70" s="24" t="s">
        <v>26</v>
      </c>
      <c r="R70" s="24" t="s">
        <v>146</v>
      </c>
      <c r="S70" s="24" t="s">
        <v>42</v>
      </c>
      <c r="T70" s="8"/>
      <c r="U70" s="5"/>
      <c r="V70" s="5"/>
      <c r="W70" s="6"/>
      <c r="X70" s="6"/>
      <c r="Y70" s="6"/>
      <c r="Z70">
        <f t="shared" ref="Z70:Z164" si="4">E70-D70</f>
        <v>-2</v>
      </c>
      <c r="AA70">
        <f t="shared" ref="AA70:AA165" si="5">IF(H70&lt;&gt;"",H70-D70,IF(G70&lt;&gt;"",G70-D70,IF(F70&lt;&gt;"",F70-D70,E70-D70)))</f>
        <v>0</v>
      </c>
      <c r="AB70" t="str">
        <f t="shared" ref="AB70:AB164" si="6">IF(Z70&lt;=3,"achive","tidak achive")</f>
        <v>achive</v>
      </c>
      <c r="AC70" t="str">
        <f t="shared" ref="AC70:AC165" si="7">IF(AA70&lt;=10,"achive","tidak achive")</f>
        <v>achive</v>
      </c>
    </row>
    <row r="71" spans="1:29" x14ac:dyDescent="0.25">
      <c r="A71" s="19" t="s">
        <v>272</v>
      </c>
      <c r="B71" s="19" t="s">
        <v>40</v>
      </c>
      <c r="C71" s="20">
        <v>46155</v>
      </c>
      <c r="D71" s="20">
        <v>46155</v>
      </c>
      <c r="E71" s="20">
        <v>46157</v>
      </c>
      <c r="F71" s="20">
        <v>46160</v>
      </c>
      <c r="G71" s="20"/>
      <c r="H71" s="20"/>
      <c r="I71" s="20">
        <v>46164</v>
      </c>
      <c r="J71" s="20">
        <v>46164</v>
      </c>
      <c r="K71" s="21" t="s">
        <v>23</v>
      </c>
      <c r="L71" s="21" t="s">
        <v>225</v>
      </c>
      <c r="M71" s="22" t="s">
        <v>217</v>
      </c>
      <c r="N71" s="21"/>
      <c r="O71" s="23"/>
      <c r="P71" s="21"/>
      <c r="Q71" s="24" t="s">
        <v>26</v>
      </c>
      <c r="R71" s="25" t="s">
        <v>14</v>
      </c>
      <c r="S71" s="8"/>
      <c r="T71" s="8"/>
      <c r="U71" s="5"/>
      <c r="V71" s="5"/>
      <c r="W71" s="6"/>
      <c r="X71" s="6"/>
      <c r="Y71" s="6"/>
      <c r="Z71">
        <f t="shared" si="4"/>
        <v>2</v>
      </c>
      <c r="AA71">
        <f t="shared" si="5"/>
        <v>5</v>
      </c>
      <c r="AB71" t="str">
        <f t="shared" si="6"/>
        <v>achive</v>
      </c>
      <c r="AC71" t="str">
        <f t="shared" si="7"/>
        <v>achive</v>
      </c>
    </row>
    <row r="72" spans="1:29" x14ac:dyDescent="0.25">
      <c r="A72" s="19" t="s">
        <v>272</v>
      </c>
      <c r="B72" s="19" t="s">
        <v>40</v>
      </c>
      <c r="C72" s="20">
        <v>46155</v>
      </c>
      <c r="D72" s="20">
        <v>46155</v>
      </c>
      <c r="E72" s="20">
        <v>46157</v>
      </c>
      <c r="F72" s="20">
        <v>46160</v>
      </c>
      <c r="G72" s="20"/>
      <c r="H72" s="20"/>
      <c r="I72" s="20">
        <v>46164</v>
      </c>
      <c r="J72" s="20">
        <v>46164</v>
      </c>
      <c r="K72" s="21" t="s">
        <v>23</v>
      </c>
      <c r="L72" s="21" t="s">
        <v>216</v>
      </c>
      <c r="M72" s="22" t="s">
        <v>219</v>
      </c>
      <c r="N72" s="21"/>
      <c r="O72" s="23"/>
      <c r="P72" s="21"/>
      <c r="Q72" s="24" t="s">
        <v>26</v>
      </c>
      <c r="R72" s="25" t="s">
        <v>14</v>
      </c>
      <c r="S72" s="8"/>
      <c r="T72" s="8"/>
      <c r="U72" s="5"/>
      <c r="V72" s="5"/>
      <c r="W72" s="6"/>
      <c r="X72" s="6"/>
      <c r="Y72" s="6"/>
      <c r="Z72">
        <f t="shared" si="4"/>
        <v>2</v>
      </c>
      <c r="AA72">
        <f t="shared" si="5"/>
        <v>5</v>
      </c>
      <c r="AB72" t="str">
        <f t="shared" si="6"/>
        <v>achive</v>
      </c>
      <c r="AC72" t="str">
        <f t="shared" si="7"/>
        <v>achive</v>
      </c>
    </row>
    <row r="73" spans="1:29" x14ac:dyDescent="0.25">
      <c r="A73" s="19" t="s">
        <v>272</v>
      </c>
      <c r="B73" s="19" t="s">
        <v>15</v>
      </c>
      <c r="C73" s="20">
        <v>46154</v>
      </c>
      <c r="D73" s="20">
        <v>46161</v>
      </c>
      <c r="E73" s="20">
        <v>46161</v>
      </c>
      <c r="F73" s="20">
        <v>46164</v>
      </c>
      <c r="G73" s="20"/>
      <c r="H73" s="20"/>
      <c r="I73" s="20">
        <v>46164</v>
      </c>
      <c r="J73" s="20">
        <v>46164</v>
      </c>
      <c r="K73" s="21" t="s">
        <v>23</v>
      </c>
      <c r="L73" s="21" t="s">
        <v>218</v>
      </c>
      <c r="M73" s="22" t="s">
        <v>223</v>
      </c>
      <c r="N73" s="21"/>
      <c r="O73" s="23" t="s">
        <v>224</v>
      </c>
      <c r="P73" s="21"/>
      <c r="Q73" s="24" t="s">
        <v>16</v>
      </c>
      <c r="R73" s="24" t="s">
        <v>26</v>
      </c>
      <c r="S73" s="25" t="s">
        <v>14</v>
      </c>
      <c r="T73" s="8"/>
      <c r="U73" s="5"/>
      <c r="V73" s="5"/>
      <c r="W73" s="6"/>
      <c r="X73" s="6"/>
      <c r="Y73" s="6"/>
      <c r="Z73">
        <f t="shared" si="4"/>
        <v>0</v>
      </c>
      <c r="AA73">
        <f t="shared" si="5"/>
        <v>3</v>
      </c>
      <c r="AB73" t="str">
        <f t="shared" si="6"/>
        <v>achive</v>
      </c>
      <c r="AC73" t="str">
        <f t="shared" si="7"/>
        <v>achive</v>
      </c>
    </row>
    <row r="74" spans="1:29" x14ac:dyDescent="0.25">
      <c r="A74" s="19" t="s">
        <v>272</v>
      </c>
      <c r="B74" s="13" t="s">
        <v>107</v>
      </c>
      <c r="C74" s="14">
        <v>46175</v>
      </c>
      <c r="D74" s="14">
        <v>46177</v>
      </c>
      <c r="E74" s="14">
        <v>46175</v>
      </c>
      <c r="F74" s="14">
        <v>46181</v>
      </c>
      <c r="G74" s="14"/>
      <c r="H74" s="14"/>
      <c r="I74" s="14"/>
      <c r="J74" s="14"/>
      <c r="K74" s="15"/>
      <c r="L74" s="15" t="s">
        <v>232</v>
      </c>
      <c r="M74" s="16" t="s">
        <v>233</v>
      </c>
      <c r="N74" s="15"/>
      <c r="O74" s="17"/>
      <c r="P74" s="15" t="s">
        <v>379</v>
      </c>
      <c r="Q74" s="18" t="s">
        <v>16</v>
      </c>
      <c r="R74" s="18" t="s">
        <v>26</v>
      </c>
      <c r="S74" s="8" t="s">
        <v>63</v>
      </c>
      <c r="T74" s="8" t="s">
        <v>64</v>
      </c>
      <c r="U74" s="8" t="s">
        <v>65</v>
      </c>
      <c r="V74" s="8" t="s">
        <v>66</v>
      </c>
      <c r="W74" s="6"/>
      <c r="X74" s="6"/>
      <c r="Y74" s="6"/>
      <c r="Z74">
        <f t="shared" si="4"/>
        <v>-2</v>
      </c>
      <c r="AA74">
        <f t="shared" si="5"/>
        <v>4</v>
      </c>
      <c r="AB74" t="str">
        <f t="shared" si="6"/>
        <v>achive</v>
      </c>
      <c r="AC74" t="str">
        <f t="shared" si="7"/>
        <v>achive</v>
      </c>
    </row>
    <row r="75" spans="1:29" x14ac:dyDescent="0.25">
      <c r="A75" s="19" t="s">
        <v>272</v>
      </c>
      <c r="B75" s="19" t="s">
        <v>40</v>
      </c>
      <c r="C75" s="20">
        <v>46171</v>
      </c>
      <c r="D75" s="20">
        <v>46177</v>
      </c>
      <c r="E75" s="20">
        <v>46177</v>
      </c>
      <c r="F75" s="20">
        <v>46177</v>
      </c>
      <c r="G75" s="20"/>
      <c r="H75" s="20"/>
      <c r="I75" s="20">
        <v>46177</v>
      </c>
      <c r="J75" s="20">
        <v>46177</v>
      </c>
      <c r="K75" s="21" t="s">
        <v>23</v>
      </c>
      <c r="L75" s="21" t="s">
        <v>234</v>
      </c>
      <c r="M75" s="22" t="s">
        <v>235</v>
      </c>
      <c r="N75" s="21"/>
      <c r="O75" s="23"/>
      <c r="P75" s="21"/>
      <c r="Q75" s="24" t="s">
        <v>26</v>
      </c>
      <c r="R75" s="25" t="s">
        <v>14</v>
      </c>
      <c r="S75" s="8"/>
      <c r="T75" s="8"/>
      <c r="U75" s="5"/>
      <c r="V75" s="5"/>
      <c r="W75" s="6"/>
      <c r="X75" s="6"/>
      <c r="Y75" s="6"/>
      <c r="Z75">
        <f t="shared" si="4"/>
        <v>0</v>
      </c>
      <c r="AA75">
        <f t="shared" si="5"/>
        <v>0</v>
      </c>
      <c r="AB75" t="str">
        <f t="shared" si="6"/>
        <v>achive</v>
      </c>
      <c r="AC75" t="str">
        <f t="shared" si="7"/>
        <v>achive</v>
      </c>
    </row>
    <row r="76" spans="1:29" x14ac:dyDescent="0.25">
      <c r="A76" s="19" t="s">
        <v>272</v>
      </c>
      <c r="B76" s="19" t="s">
        <v>15</v>
      </c>
      <c r="C76" s="20">
        <v>46181</v>
      </c>
      <c r="D76" s="20">
        <v>46181</v>
      </c>
      <c r="E76" s="20">
        <v>46181</v>
      </c>
      <c r="F76" s="20">
        <v>46190</v>
      </c>
      <c r="G76" s="20"/>
      <c r="H76" s="20"/>
      <c r="I76" s="20">
        <v>46190</v>
      </c>
      <c r="J76" s="20">
        <v>46190</v>
      </c>
      <c r="K76" s="21" t="s">
        <v>23</v>
      </c>
      <c r="L76" s="21" t="s">
        <v>239</v>
      </c>
      <c r="M76" s="22" t="s">
        <v>240</v>
      </c>
      <c r="N76" s="21"/>
      <c r="O76" s="23"/>
      <c r="P76" s="21"/>
      <c r="Q76" s="24" t="s">
        <v>16</v>
      </c>
      <c r="R76" s="24" t="s">
        <v>26</v>
      </c>
      <c r="S76" s="8"/>
      <c r="T76" s="8"/>
      <c r="U76" s="5"/>
      <c r="V76" s="5"/>
      <c r="W76" s="6"/>
      <c r="X76" s="6"/>
      <c r="Y76" s="6"/>
      <c r="Z76">
        <f t="shared" si="4"/>
        <v>0</v>
      </c>
      <c r="AA76">
        <f t="shared" si="5"/>
        <v>9</v>
      </c>
      <c r="AB76" t="str">
        <f t="shared" si="6"/>
        <v>achive</v>
      </c>
      <c r="AC76" t="str">
        <f t="shared" si="7"/>
        <v>achive</v>
      </c>
    </row>
    <row r="77" spans="1:29" x14ac:dyDescent="0.25">
      <c r="A77" s="19" t="s">
        <v>272</v>
      </c>
      <c r="B77" s="19" t="s">
        <v>40</v>
      </c>
      <c r="C77" s="20">
        <v>46182</v>
      </c>
      <c r="D77" s="20">
        <v>46182</v>
      </c>
      <c r="E77" s="20">
        <v>46183</v>
      </c>
      <c r="F77" s="20">
        <v>46184</v>
      </c>
      <c r="G77" s="20"/>
      <c r="H77" s="20"/>
      <c r="I77" s="20">
        <v>46192</v>
      </c>
      <c r="J77" s="20">
        <v>46192</v>
      </c>
      <c r="K77" s="21" t="s">
        <v>23</v>
      </c>
      <c r="L77" s="21" t="s">
        <v>241</v>
      </c>
      <c r="M77" s="22" t="s">
        <v>143</v>
      </c>
      <c r="N77" s="21"/>
      <c r="O77" s="23"/>
      <c r="P77" s="21"/>
      <c r="Q77" s="24" t="s">
        <v>26</v>
      </c>
      <c r="R77" s="25" t="s">
        <v>14</v>
      </c>
      <c r="S77" s="8"/>
      <c r="T77" s="8"/>
      <c r="U77" s="5"/>
      <c r="V77" s="5"/>
      <c r="W77" s="6"/>
      <c r="X77" s="6"/>
      <c r="Y77" s="6"/>
      <c r="Z77">
        <f t="shared" si="4"/>
        <v>1</v>
      </c>
      <c r="AA77">
        <f t="shared" si="5"/>
        <v>2</v>
      </c>
      <c r="AB77" t="str">
        <f t="shared" si="6"/>
        <v>achive</v>
      </c>
      <c r="AC77" t="str">
        <f t="shared" si="7"/>
        <v>achive</v>
      </c>
    </row>
    <row r="78" spans="1:29" x14ac:dyDescent="0.25">
      <c r="A78" s="19" t="s">
        <v>272</v>
      </c>
      <c r="B78" s="19" t="s">
        <v>40</v>
      </c>
      <c r="C78" s="20">
        <v>46184</v>
      </c>
      <c r="D78" s="20">
        <v>46184</v>
      </c>
      <c r="E78" s="20">
        <v>46184</v>
      </c>
      <c r="F78" s="20">
        <v>46185</v>
      </c>
      <c r="G78" s="20"/>
      <c r="H78" s="20"/>
      <c r="I78" s="20">
        <v>46197</v>
      </c>
      <c r="J78" s="20">
        <v>46197</v>
      </c>
      <c r="K78" s="21" t="s">
        <v>23</v>
      </c>
      <c r="L78" s="21" t="s">
        <v>242</v>
      </c>
      <c r="M78" s="22" t="s">
        <v>244</v>
      </c>
      <c r="N78" s="21"/>
      <c r="O78" s="23"/>
      <c r="P78" s="21"/>
      <c r="Q78" s="24" t="s">
        <v>26</v>
      </c>
      <c r="R78" s="25" t="s">
        <v>14</v>
      </c>
      <c r="S78" s="8"/>
      <c r="T78" s="8"/>
      <c r="U78" s="5"/>
      <c r="V78" s="5"/>
      <c r="W78" s="6"/>
      <c r="X78" s="6"/>
      <c r="Y78" s="6"/>
      <c r="Z78">
        <f t="shared" si="4"/>
        <v>0</v>
      </c>
      <c r="AA78">
        <f t="shared" si="5"/>
        <v>1</v>
      </c>
      <c r="AB78" t="str">
        <f t="shared" si="6"/>
        <v>achive</v>
      </c>
      <c r="AC78" t="str">
        <f t="shared" si="7"/>
        <v>achive</v>
      </c>
    </row>
    <row r="79" spans="1:29" x14ac:dyDescent="0.25">
      <c r="A79" s="19" t="s">
        <v>272</v>
      </c>
      <c r="B79" s="19" t="s">
        <v>40</v>
      </c>
      <c r="C79" s="20">
        <v>46184</v>
      </c>
      <c r="D79" s="20">
        <v>46184</v>
      </c>
      <c r="E79" s="20">
        <v>46184</v>
      </c>
      <c r="F79" s="20">
        <v>46185</v>
      </c>
      <c r="G79" s="20"/>
      <c r="H79" s="20"/>
      <c r="I79" s="20">
        <v>46197</v>
      </c>
      <c r="J79" s="20">
        <v>46197</v>
      </c>
      <c r="K79" s="21" t="s">
        <v>23</v>
      </c>
      <c r="L79" s="21" t="s">
        <v>243</v>
      </c>
      <c r="M79" s="22" t="s">
        <v>245</v>
      </c>
      <c r="N79" s="21"/>
      <c r="O79" s="23"/>
      <c r="P79" s="21"/>
      <c r="Q79" s="24" t="s">
        <v>26</v>
      </c>
      <c r="R79" s="25" t="s">
        <v>14</v>
      </c>
      <c r="S79" s="8"/>
      <c r="T79" s="8"/>
      <c r="U79" s="5"/>
      <c r="V79" s="5"/>
      <c r="W79" s="6"/>
      <c r="X79" s="6"/>
      <c r="Y79" s="6"/>
      <c r="Z79">
        <f t="shared" si="4"/>
        <v>0</v>
      </c>
      <c r="AA79">
        <f t="shared" si="5"/>
        <v>1</v>
      </c>
      <c r="AB79" t="str">
        <f t="shared" si="6"/>
        <v>achive</v>
      </c>
      <c r="AC79" t="str">
        <f t="shared" si="7"/>
        <v>achive</v>
      </c>
    </row>
    <row r="80" spans="1:29" x14ac:dyDescent="0.25">
      <c r="A80" s="19" t="s">
        <v>272</v>
      </c>
      <c r="B80" s="19" t="s">
        <v>15</v>
      </c>
      <c r="C80" s="20">
        <v>46188</v>
      </c>
      <c r="D80" s="20">
        <v>46190</v>
      </c>
      <c r="E80" s="20">
        <v>46190</v>
      </c>
      <c r="F80" s="20">
        <v>46196</v>
      </c>
      <c r="G80" s="20"/>
      <c r="H80" s="20"/>
      <c r="I80" s="20">
        <v>46196</v>
      </c>
      <c r="J80" s="20">
        <v>46196</v>
      </c>
      <c r="K80" s="21" t="s">
        <v>23</v>
      </c>
      <c r="L80" s="21" t="s">
        <v>251</v>
      </c>
      <c r="M80" s="22" t="s">
        <v>252</v>
      </c>
      <c r="N80" s="21"/>
      <c r="O80" s="23"/>
      <c r="P80" s="21"/>
      <c r="Q80" s="24" t="s">
        <v>16</v>
      </c>
      <c r="R80" s="24" t="s">
        <v>26</v>
      </c>
      <c r="S80" s="8"/>
      <c r="T80" s="8"/>
      <c r="U80" s="5"/>
      <c r="V80" s="5"/>
      <c r="W80" s="6"/>
      <c r="X80" s="6"/>
      <c r="Y80" s="6"/>
      <c r="Z80">
        <f t="shared" si="4"/>
        <v>0</v>
      </c>
      <c r="AA80">
        <f t="shared" si="5"/>
        <v>6</v>
      </c>
      <c r="AB80" t="str">
        <f t="shared" si="6"/>
        <v>achive</v>
      </c>
      <c r="AC80" t="str">
        <f t="shared" si="7"/>
        <v>achive</v>
      </c>
    </row>
    <row r="81" spans="1:25" x14ac:dyDescent="0.25">
      <c r="A81" s="19" t="s">
        <v>272</v>
      </c>
      <c r="B81" s="19" t="s">
        <v>15</v>
      </c>
      <c r="C81" s="20">
        <v>46191</v>
      </c>
      <c r="D81" s="20">
        <v>46191</v>
      </c>
      <c r="E81" s="20">
        <v>46191</v>
      </c>
      <c r="F81" s="20">
        <v>46192</v>
      </c>
      <c r="G81" s="20"/>
      <c r="H81" s="20"/>
      <c r="I81" s="20">
        <v>46192</v>
      </c>
      <c r="J81" s="20">
        <v>46192</v>
      </c>
      <c r="K81" s="21" t="s">
        <v>23</v>
      </c>
      <c r="L81" s="21" t="s">
        <v>274</v>
      </c>
      <c r="M81" s="22" t="s">
        <v>275</v>
      </c>
      <c r="N81" s="21"/>
      <c r="O81" s="23"/>
      <c r="P81" s="21"/>
      <c r="Q81" s="24" t="s">
        <v>26</v>
      </c>
      <c r="R81" s="25" t="s">
        <v>14</v>
      </c>
      <c r="S81" s="8"/>
      <c r="T81" s="8"/>
      <c r="U81" s="5"/>
      <c r="V81" s="5"/>
      <c r="W81" s="6"/>
      <c r="X81" s="6"/>
      <c r="Y81" s="6"/>
    </row>
    <row r="82" spans="1:25" x14ac:dyDescent="0.25">
      <c r="A82" s="19" t="s">
        <v>272</v>
      </c>
      <c r="B82" s="19" t="s">
        <v>25</v>
      </c>
      <c r="C82" s="20">
        <v>46196</v>
      </c>
      <c r="D82" s="20">
        <v>46196</v>
      </c>
      <c r="E82" s="20">
        <v>46197</v>
      </c>
      <c r="F82" s="20">
        <v>46197</v>
      </c>
      <c r="G82" s="20"/>
      <c r="H82" s="20"/>
      <c r="I82" s="20">
        <v>46197</v>
      </c>
      <c r="J82" s="20">
        <v>46197</v>
      </c>
      <c r="K82" s="21" t="s">
        <v>23</v>
      </c>
      <c r="L82" s="21" t="s">
        <v>281</v>
      </c>
      <c r="M82" s="22" t="s">
        <v>282</v>
      </c>
      <c r="N82" s="21"/>
      <c r="O82" s="23"/>
      <c r="P82" s="21"/>
      <c r="Q82" s="24" t="s">
        <v>16</v>
      </c>
      <c r="R82" s="24" t="s">
        <v>26</v>
      </c>
      <c r="S82" s="8"/>
      <c r="T82" s="8"/>
      <c r="U82" s="8"/>
      <c r="V82" s="8"/>
      <c r="W82" s="67"/>
      <c r="X82" s="67"/>
      <c r="Y82" s="67"/>
    </row>
    <row r="83" spans="1:25" x14ac:dyDescent="0.25">
      <c r="A83" s="19" t="s">
        <v>272</v>
      </c>
      <c r="B83" s="19" t="s">
        <v>40</v>
      </c>
      <c r="C83" s="20">
        <v>46203</v>
      </c>
      <c r="D83" s="20">
        <v>46204</v>
      </c>
      <c r="E83" s="20">
        <v>46204</v>
      </c>
      <c r="F83" s="20">
        <v>46205</v>
      </c>
      <c r="G83" s="20"/>
      <c r="H83" s="20"/>
      <c r="I83" s="20">
        <v>46206</v>
      </c>
      <c r="J83" s="20">
        <v>46206</v>
      </c>
      <c r="K83" s="21" t="s">
        <v>23</v>
      </c>
      <c r="L83" s="21" t="s">
        <v>287</v>
      </c>
      <c r="M83" s="22" t="s">
        <v>288</v>
      </c>
      <c r="N83" s="21"/>
      <c r="O83" s="23"/>
      <c r="P83" s="21"/>
      <c r="Q83" s="24" t="s">
        <v>26</v>
      </c>
      <c r="R83" s="25" t="s">
        <v>14</v>
      </c>
      <c r="S83" s="8"/>
      <c r="T83" s="8"/>
      <c r="U83" s="8"/>
      <c r="V83" s="8"/>
      <c r="W83" s="67"/>
      <c r="X83" s="67"/>
      <c r="Y83" s="67"/>
    </row>
    <row r="84" spans="1:25" x14ac:dyDescent="0.25">
      <c r="A84" s="19" t="s">
        <v>272</v>
      </c>
      <c r="B84" s="19" t="s">
        <v>24</v>
      </c>
      <c r="C84" s="20">
        <v>46205</v>
      </c>
      <c r="D84" s="20">
        <v>46205</v>
      </c>
      <c r="E84" s="20">
        <v>46205</v>
      </c>
      <c r="F84" s="20">
        <v>46210</v>
      </c>
      <c r="G84" s="20"/>
      <c r="H84" s="20"/>
      <c r="I84" s="20">
        <v>46219</v>
      </c>
      <c r="J84" s="20">
        <v>46219</v>
      </c>
      <c r="K84" s="21" t="s">
        <v>23</v>
      </c>
      <c r="L84" s="21" t="s">
        <v>290</v>
      </c>
      <c r="M84" s="22" t="s">
        <v>294</v>
      </c>
      <c r="N84" s="21"/>
      <c r="O84" s="23"/>
      <c r="P84" s="21"/>
      <c r="Q84" s="45" t="s">
        <v>26</v>
      </c>
      <c r="R84" s="25" t="s">
        <v>22</v>
      </c>
      <c r="S84" s="8"/>
      <c r="T84" s="8"/>
      <c r="U84" s="8"/>
      <c r="V84" s="8"/>
      <c r="W84" s="67"/>
      <c r="X84" s="67"/>
      <c r="Y84" s="67"/>
    </row>
    <row r="85" spans="1:25" x14ac:dyDescent="0.25">
      <c r="A85" s="19" t="s">
        <v>272</v>
      </c>
      <c r="B85" s="19" t="s">
        <v>40</v>
      </c>
      <c r="C85" s="20">
        <v>46209</v>
      </c>
      <c r="D85" s="20">
        <v>46209</v>
      </c>
      <c r="E85" s="20">
        <v>46209</v>
      </c>
      <c r="F85" s="20">
        <v>46210</v>
      </c>
      <c r="G85" s="20"/>
      <c r="H85" s="20"/>
      <c r="I85" s="20">
        <v>46210</v>
      </c>
      <c r="J85" s="20">
        <v>46210</v>
      </c>
      <c r="K85" s="21" t="s">
        <v>23</v>
      </c>
      <c r="L85" s="21" t="s">
        <v>295</v>
      </c>
      <c r="M85" s="22" t="s">
        <v>296</v>
      </c>
      <c r="N85" s="21"/>
      <c r="O85" s="23"/>
      <c r="P85" s="21"/>
      <c r="Q85" s="24" t="s">
        <v>26</v>
      </c>
      <c r="R85" s="25" t="s">
        <v>14</v>
      </c>
      <c r="S85" s="8"/>
      <c r="T85" s="8"/>
      <c r="U85" s="8"/>
      <c r="V85" s="8"/>
      <c r="W85" s="67"/>
      <c r="X85" s="67"/>
      <c r="Y85" s="67"/>
    </row>
    <row r="86" spans="1:25" x14ac:dyDescent="0.25">
      <c r="A86" s="19" t="s">
        <v>272</v>
      </c>
      <c r="B86" s="19" t="s">
        <v>40</v>
      </c>
      <c r="C86" s="20">
        <v>46209</v>
      </c>
      <c r="D86" s="20">
        <v>46209</v>
      </c>
      <c r="E86" s="20">
        <v>46209</v>
      </c>
      <c r="F86" s="20">
        <v>46209</v>
      </c>
      <c r="G86" s="20"/>
      <c r="H86" s="20"/>
      <c r="I86" s="20">
        <v>46210</v>
      </c>
      <c r="J86" s="20">
        <v>46210</v>
      </c>
      <c r="K86" s="21" t="s">
        <v>23</v>
      </c>
      <c r="L86" s="21" t="s">
        <v>297</v>
      </c>
      <c r="M86" s="22" t="s">
        <v>298</v>
      </c>
      <c r="N86" s="21"/>
      <c r="O86" s="23"/>
      <c r="P86" s="21"/>
      <c r="Q86" s="24" t="s">
        <v>26</v>
      </c>
      <c r="R86" s="25" t="s">
        <v>14</v>
      </c>
      <c r="S86" s="8"/>
      <c r="T86" s="8"/>
      <c r="U86" s="8"/>
      <c r="V86" s="8"/>
      <c r="W86" s="67"/>
      <c r="X86" s="67"/>
      <c r="Y86" s="67"/>
    </row>
    <row r="87" spans="1:25" x14ac:dyDescent="0.25">
      <c r="A87" s="19" t="s">
        <v>272</v>
      </c>
      <c r="B87" s="19" t="s">
        <v>15</v>
      </c>
      <c r="C87" s="20">
        <v>46210</v>
      </c>
      <c r="D87" s="20">
        <v>46210</v>
      </c>
      <c r="E87" s="20">
        <v>46211</v>
      </c>
      <c r="F87" s="20">
        <v>46211</v>
      </c>
      <c r="G87" s="20"/>
      <c r="H87" s="20"/>
      <c r="I87" s="20">
        <v>46213</v>
      </c>
      <c r="J87" s="20">
        <v>46213</v>
      </c>
      <c r="K87" s="21" t="s">
        <v>23</v>
      </c>
      <c r="L87" s="21" t="s">
        <v>303</v>
      </c>
      <c r="M87" s="22" t="s">
        <v>299</v>
      </c>
      <c r="N87" s="21"/>
      <c r="O87" s="23"/>
      <c r="P87" s="21"/>
      <c r="Q87" s="24" t="s">
        <v>16</v>
      </c>
      <c r="R87" s="45" t="s">
        <v>26</v>
      </c>
      <c r="S87" s="8"/>
      <c r="T87" s="8"/>
      <c r="U87" s="8"/>
      <c r="V87" s="8"/>
      <c r="W87" s="67"/>
      <c r="X87" s="67"/>
      <c r="Y87" s="67"/>
    </row>
    <row r="88" spans="1:25" x14ac:dyDescent="0.25">
      <c r="A88" s="19" t="s">
        <v>272</v>
      </c>
      <c r="B88" s="19" t="s">
        <v>40</v>
      </c>
      <c r="C88" s="20">
        <v>46210</v>
      </c>
      <c r="D88" s="20">
        <v>46210</v>
      </c>
      <c r="E88" s="20">
        <v>46211</v>
      </c>
      <c r="F88" s="20"/>
      <c r="G88" s="20"/>
      <c r="H88" s="20"/>
      <c r="I88" s="20">
        <v>46211</v>
      </c>
      <c r="J88" s="20">
        <v>46220</v>
      </c>
      <c r="K88" s="21" t="s">
        <v>23</v>
      </c>
      <c r="L88" s="21" t="s">
        <v>300</v>
      </c>
      <c r="M88" s="22" t="s">
        <v>175</v>
      </c>
      <c r="N88" s="21"/>
      <c r="O88" s="23"/>
      <c r="P88" s="21"/>
      <c r="Q88" s="24" t="s">
        <v>26</v>
      </c>
      <c r="R88" s="25" t="s">
        <v>14</v>
      </c>
      <c r="S88" s="8"/>
      <c r="T88" s="8"/>
      <c r="U88" s="8"/>
      <c r="V88" s="8"/>
      <c r="W88" s="67"/>
      <c r="X88" s="67"/>
      <c r="Y88" s="67"/>
    </row>
    <row r="89" spans="1:25" x14ac:dyDescent="0.25">
      <c r="A89" s="19" t="s">
        <v>272</v>
      </c>
      <c r="B89" s="19" t="s">
        <v>40</v>
      </c>
      <c r="C89" s="20">
        <v>46210</v>
      </c>
      <c r="D89" s="20">
        <v>46210</v>
      </c>
      <c r="E89" s="20">
        <v>46211</v>
      </c>
      <c r="F89" s="20">
        <v>46211</v>
      </c>
      <c r="G89" s="20"/>
      <c r="H89" s="20"/>
      <c r="I89" s="20">
        <v>46217</v>
      </c>
      <c r="J89" s="20">
        <v>46217</v>
      </c>
      <c r="K89" s="21" t="s">
        <v>23</v>
      </c>
      <c r="L89" s="21" t="s">
        <v>301</v>
      </c>
      <c r="M89" s="22" t="s">
        <v>302</v>
      </c>
      <c r="N89" s="21"/>
      <c r="O89" s="23"/>
      <c r="P89" s="21"/>
      <c r="Q89" s="24" t="s">
        <v>26</v>
      </c>
      <c r="R89" s="25" t="s">
        <v>14</v>
      </c>
      <c r="S89" s="8"/>
      <c r="T89" s="8"/>
      <c r="U89" s="8"/>
      <c r="V89" s="8"/>
      <c r="W89" s="67"/>
      <c r="X89" s="67"/>
      <c r="Y89" s="67"/>
    </row>
    <row r="90" spans="1:25" x14ac:dyDescent="0.25">
      <c r="A90" s="68" t="s">
        <v>272</v>
      </c>
      <c r="B90" s="68" t="s">
        <v>24</v>
      </c>
      <c r="C90" s="69">
        <v>46216</v>
      </c>
      <c r="D90" s="69">
        <v>46216</v>
      </c>
      <c r="E90" s="69">
        <v>46205</v>
      </c>
      <c r="F90" s="69"/>
      <c r="G90" s="69"/>
      <c r="H90" s="69"/>
      <c r="I90" s="69"/>
      <c r="J90" s="69"/>
      <c r="K90" s="70" t="s">
        <v>366</v>
      </c>
      <c r="L90" s="70" t="s">
        <v>304</v>
      </c>
      <c r="M90" s="71" t="s">
        <v>305</v>
      </c>
      <c r="N90" s="70"/>
      <c r="O90" s="72"/>
      <c r="P90" s="70" t="s">
        <v>378</v>
      </c>
      <c r="Q90" s="73" t="s">
        <v>26</v>
      </c>
      <c r="R90" s="73" t="s">
        <v>22</v>
      </c>
      <c r="S90" s="73" t="s">
        <v>306</v>
      </c>
      <c r="T90" s="73" t="s">
        <v>136</v>
      </c>
      <c r="U90" s="73" t="s">
        <v>66</v>
      </c>
      <c r="V90" s="74"/>
      <c r="W90" s="75"/>
      <c r="X90" s="75"/>
      <c r="Y90" s="75"/>
    </row>
    <row r="91" spans="1:25" x14ac:dyDescent="0.25">
      <c r="A91" s="19" t="s">
        <v>272</v>
      </c>
      <c r="B91" s="19" t="s">
        <v>40</v>
      </c>
      <c r="C91" s="20">
        <v>46216</v>
      </c>
      <c r="D91" s="20">
        <v>46217</v>
      </c>
      <c r="E91" s="20">
        <v>46217</v>
      </c>
      <c r="F91" s="20">
        <v>46217</v>
      </c>
      <c r="G91" s="20"/>
      <c r="H91" s="20"/>
      <c r="I91" s="20">
        <v>46219</v>
      </c>
      <c r="J91" s="20">
        <v>46219</v>
      </c>
      <c r="K91" s="21" t="s">
        <v>23</v>
      </c>
      <c r="L91" s="21" t="s">
        <v>308</v>
      </c>
      <c r="M91" s="22" t="s">
        <v>307</v>
      </c>
      <c r="N91" s="21"/>
      <c r="O91" s="23"/>
      <c r="P91" s="21"/>
      <c r="Q91" s="24" t="s">
        <v>26</v>
      </c>
      <c r="R91" s="25" t="s">
        <v>42</v>
      </c>
      <c r="S91" s="8"/>
      <c r="T91" s="8"/>
      <c r="U91" s="8"/>
      <c r="V91" s="8"/>
      <c r="W91" s="67"/>
      <c r="X91" s="67"/>
      <c r="Y91" s="67"/>
    </row>
    <row r="92" spans="1:25" x14ac:dyDescent="0.25">
      <c r="A92" s="19" t="s">
        <v>272</v>
      </c>
      <c r="B92" s="19" t="s">
        <v>40</v>
      </c>
      <c r="C92" s="20">
        <v>46216</v>
      </c>
      <c r="D92" s="20">
        <v>46217</v>
      </c>
      <c r="E92" s="20">
        <v>46217</v>
      </c>
      <c r="F92" s="20">
        <v>46217</v>
      </c>
      <c r="G92" s="20"/>
      <c r="H92" s="20"/>
      <c r="I92" s="20">
        <v>46219</v>
      </c>
      <c r="J92" s="20">
        <v>46219</v>
      </c>
      <c r="K92" s="21" t="s">
        <v>23</v>
      </c>
      <c r="L92" s="21" t="s">
        <v>309</v>
      </c>
      <c r="M92" s="22" t="s">
        <v>310</v>
      </c>
      <c r="N92" s="21"/>
      <c r="O92" s="23"/>
      <c r="P92" s="21"/>
      <c r="Q92" s="24" t="s">
        <v>26</v>
      </c>
      <c r="R92" s="25" t="s">
        <v>42</v>
      </c>
      <c r="S92" s="8"/>
      <c r="T92" s="8"/>
      <c r="U92" s="8"/>
      <c r="V92" s="8"/>
      <c r="W92" s="67"/>
      <c r="X92" s="67"/>
      <c r="Y92" s="67"/>
    </row>
    <row r="93" spans="1:25" x14ac:dyDescent="0.25">
      <c r="A93" s="19" t="s">
        <v>272</v>
      </c>
      <c r="B93" s="19" t="s">
        <v>15</v>
      </c>
      <c r="C93" s="20">
        <v>46217</v>
      </c>
      <c r="D93" s="20">
        <v>46217</v>
      </c>
      <c r="E93" s="20">
        <v>46217</v>
      </c>
      <c r="F93" s="20">
        <v>46218</v>
      </c>
      <c r="G93" s="20"/>
      <c r="H93" s="20"/>
      <c r="I93" s="20">
        <v>46247</v>
      </c>
      <c r="J93" s="20">
        <v>46247</v>
      </c>
      <c r="K93" s="21" t="s">
        <v>23</v>
      </c>
      <c r="L93" s="21" t="s">
        <v>312</v>
      </c>
      <c r="M93" s="22" t="s">
        <v>311</v>
      </c>
      <c r="N93" s="21"/>
      <c r="O93" s="23"/>
      <c r="P93" s="21"/>
      <c r="Q93" s="24" t="s">
        <v>16</v>
      </c>
      <c r="R93" s="24" t="s">
        <v>26</v>
      </c>
      <c r="S93" s="25" t="s">
        <v>63</v>
      </c>
      <c r="T93" s="25" t="s">
        <v>64</v>
      </c>
      <c r="U93" s="25" t="s">
        <v>65</v>
      </c>
      <c r="V93" s="25" t="s">
        <v>66</v>
      </c>
      <c r="W93" s="67"/>
      <c r="X93" s="67"/>
      <c r="Y93" s="67"/>
    </row>
    <row r="94" spans="1:25" x14ac:dyDescent="0.25">
      <c r="A94" s="19" t="s">
        <v>272</v>
      </c>
      <c r="B94" s="19" t="s">
        <v>40</v>
      </c>
      <c r="C94" s="20">
        <v>46223</v>
      </c>
      <c r="D94" s="20">
        <v>46223</v>
      </c>
      <c r="E94" s="20">
        <v>46224</v>
      </c>
      <c r="F94" s="20">
        <v>46224</v>
      </c>
      <c r="G94" s="20"/>
      <c r="H94" s="20"/>
      <c r="I94" s="20">
        <v>46262</v>
      </c>
      <c r="J94" s="20">
        <v>46262</v>
      </c>
      <c r="K94" s="21" t="s">
        <v>23</v>
      </c>
      <c r="L94" s="21" t="s">
        <v>313</v>
      </c>
      <c r="M94" s="22" t="s">
        <v>314</v>
      </c>
      <c r="N94" s="21"/>
      <c r="O94" s="23"/>
      <c r="P94" s="21"/>
      <c r="Q94" s="24" t="s">
        <v>26</v>
      </c>
      <c r="R94" s="25" t="s">
        <v>14</v>
      </c>
      <c r="S94" s="25" t="s">
        <v>64</v>
      </c>
      <c r="T94" s="25" t="s">
        <v>64</v>
      </c>
      <c r="U94" s="25" t="s">
        <v>65</v>
      </c>
      <c r="V94" s="25" t="s">
        <v>66</v>
      </c>
      <c r="W94" s="67"/>
      <c r="X94" s="67"/>
      <c r="Y94" s="67"/>
    </row>
    <row r="95" spans="1:25" x14ac:dyDescent="0.25">
      <c r="A95" s="19" t="s">
        <v>272</v>
      </c>
      <c r="B95" s="19" t="s">
        <v>40</v>
      </c>
      <c r="C95" s="20">
        <v>46223</v>
      </c>
      <c r="D95" s="20">
        <v>46223</v>
      </c>
      <c r="E95" s="20">
        <v>46224</v>
      </c>
      <c r="F95" s="20">
        <v>46224</v>
      </c>
      <c r="G95" s="20"/>
      <c r="H95" s="20"/>
      <c r="I95" s="20">
        <v>46225</v>
      </c>
      <c r="J95" s="20">
        <v>46225</v>
      </c>
      <c r="K95" s="21" t="s">
        <v>23</v>
      </c>
      <c r="L95" s="21" t="s">
        <v>316</v>
      </c>
      <c r="M95" s="22" t="s">
        <v>317</v>
      </c>
      <c r="N95" s="21"/>
      <c r="O95" s="23"/>
      <c r="P95" s="21"/>
      <c r="Q95" s="24" t="s">
        <v>26</v>
      </c>
      <c r="R95" s="25" t="s">
        <v>14</v>
      </c>
      <c r="S95" s="8"/>
      <c r="T95" s="8"/>
      <c r="U95" s="8"/>
      <c r="V95" s="8"/>
      <c r="W95" s="67"/>
      <c r="X95" s="67"/>
      <c r="Y95" s="67"/>
    </row>
    <row r="96" spans="1:25" x14ac:dyDescent="0.25">
      <c r="A96" s="19" t="s">
        <v>272</v>
      </c>
      <c r="B96" s="19" t="s">
        <v>40</v>
      </c>
      <c r="C96" s="20">
        <v>46223</v>
      </c>
      <c r="D96" s="20">
        <v>46223</v>
      </c>
      <c r="E96" s="20">
        <v>46224</v>
      </c>
      <c r="F96" s="20">
        <v>46224</v>
      </c>
      <c r="G96" s="20"/>
      <c r="H96" s="20"/>
      <c r="I96" s="20">
        <v>46225</v>
      </c>
      <c r="J96" s="20">
        <v>46225</v>
      </c>
      <c r="K96" s="21" t="s">
        <v>23</v>
      </c>
      <c r="L96" s="21" t="s">
        <v>315</v>
      </c>
      <c r="M96" s="22" t="s">
        <v>318</v>
      </c>
      <c r="N96" s="21"/>
      <c r="O96" s="23"/>
      <c r="P96" s="21"/>
      <c r="Q96" s="24" t="s">
        <v>26</v>
      </c>
      <c r="R96" s="25" t="s">
        <v>14</v>
      </c>
      <c r="S96" s="8"/>
      <c r="T96" s="8"/>
      <c r="U96" s="8"/>
      <c r="V96" s="8"/>
      <c r="W96" s="67"/>
      <c r="X96" s="67"/>
      <c r="Y96" s="67"/>
    </row>
    <row r="97" spans="1:25" x14ac:dyDescent="0.25">
      <c r="A97" s="19" t="s">
        <v>272</v>
      </c>
      <c r="B97" s="19" t="s">
        <v>40</v>
      </c>
      <c r="C97" s="20">
        <v>46224</v>
      </c>
      <c r="D97" s="20">
        <v>46224</v>
      </c>
      <c r="E97" s="20">
        <v>46225</v>
      </c>
      <c r="F97" s="20">
        <v>46225</v>
      </c>
      <c r="G97" s="20"/>
      <c r="H97" s="20"/>
      <c r="I97" s="20">
        <v>46226</v>
      </c>
      <c r="J97" s="20">
        <v>46226</v>
      </c>
      <c r="K97" s="21" t="s">
        <v>23</v>
      </c>
      <c r="L97" s="21" t="s">
        <v>324</v>
      </c>
      <c r="M97" s="22" t="s">
        <v>41</v>
      </c>
      <c r="N97" s="21"/>
      <c r="O97" s="23"/>
      <c r="P97" s="21"/>
      <c r="Q97" s="24" t="s">
        <v>26</v>
      </c>
      <c r="R97" s="25" t="s">
        <v>14</v>
      </c>
      <c r="S97" s="8"/>
      <c r="T97" s="8"/>
      <c r="U97" s="8"/>
      <c r="V97" s="8"/>
      <c r="W97" s="67"/>
      <c r="X97" s="67"/>
      <c r="Y97" s="67"/>
    </row>
    <row r="98" spans="1:25" x14ac:dyDescent="0.25">
      <c r="A98" s="19" t="s">
        <v>272</v>
      </c>
      <c r="B98" s="19" t="s">
        <v>24</v>
      </c>
      <c r="C98" s="20">
        <v>46226</v>
      </c>
      <c r="D98" s="20">
        <v>46226</v>
      </c>
      <c r="E98" s="20">
        <v>46226</v>
      </c>
      <c r="F98" s="20">
        <v>46232</v>
      </c>
      <c r="G98" s="20"/>
      <c r="H98" s="20"/>
      <c r="I98" s="20">
        <v>46238</v>
      </c>
      <c r="J98" s="20">
        <v>46238</v>
      </c>
      <c r="K98" s="21" t="s">
        <v>23</v>
      </c>
      <c r="L98" s="21" t="s">
        <v>331</v>
      </c>
      <c r="M98" s="22" t="s">
        <v>332</v>
      </c>
      <c r="N98" s="21"/>
      <c r="O98" s="23" t="s">
        <v>106</v>
      </c>
      <c r="P98" s="21"/>
      <c r="Q98" s="24" t="s">
        <v>26</v>
      </c>
      <c r="R98" s="24" t="s">
        <v>146</v>
      </c>
      <c r="S98" s="24" t="s">
        <v>42</v>
      </c>
      <c r="T98" s="8"/>
      <c r="U98" s="8"/>
      <c r="V98" s="8"/>
      <c r="W98" s="67"/>
      <c r="X98" s="67"/>
      <c r="Y98" s="67"/>
    </row>
    <row r="99" spans="1:25" x14ac:dyDescent="0.25">
      <c r="A99" s="19" t="s">
        <v>272</v>
      </c>
      <c r="B99" s="19" t="s">
        <v>60</v>
      </c>
      <c r="C99" s="20">
        <v>46226</v>
      </c>
      <c r="D99" s="20">
        <v>46226</v>
      </c>
      <c r="E99" s="20">
        <v>46227</v>
      </c>
      <c r="F99" s="20">
        <v>46232</v>
      </c>
      <c r="G99" s="20"/>
      <c r="H99" s="20"/>
      <c r="I99" s="20">
        <v>46262</v>
      </c>
      <c r="J99" s="20">
        <v>46262</v>
      </c>
      <c r="K99" s="21" t="s">
        <v>23</v>
      </c>
      <c r="L99" s="21" t="s">
        <v>333</v>
      </c>
      <c r="M99" s="22" t="s">
        <v>334</v>
      </c>
      <c r="N99" s="21"/>
      <c r="O99" s="23"/>
      <c r="P99" s="21"/>
      <c r="Q99" s="24" t="s">
        <v>26</v>
      </c>
      <c r="R99" s="24" t="s">
        <v>22</v>
      </c>
      <c r="S99" s="25" t="s">
        <v>64</v>
      </c>
      <c r="T99" s="25" t="s">
        <v>65</v>
      </c>
      <c r="U99" s="25" t="s">
        <v>66</v>
      </c>
      <c r="V99" s="8"/>
      <c r="W99" s="67"/>
      <c r="X99" s="67"/>
      <c r="Y99" s="67"/>
    </row>
    <row r="100" spans="1:25" x14ac:dyDescent="0.25">
      <c r="A100" s="19" t="s">
        <v>272</v>
      </c>
      <c r="B100" s="19" t="s">
        <v>15</v>
      </c>
      <c r="C100" s="20">
        <v>46230</v>
      </c>
      <c r="D100" s="20">
        <v>46230</v>
      </c>
      <c r="E100" s="20">
        <v>46230</v>
      </c>
      <c r="F100" s="20">
        <v>46232</v>
      </c>
      <c r="G100" s="20"/>
      <c r="H100" s="20"/>
      <c r="I100" s="20">
        <v>46232</v>
      </c>
      <c r="J100" s="20">
        <v>46232</v>
      </c>
      <c r="K100" s="21" t="s">
        <v>23</v>
      </c>
      <c r="L100" s="21" t="s">
        <v>335</v>
      </c>
      <c r="M100" s="22" t="s">
        <v>337</v>
      </c>
      <c r="N100" s="21"/>
      <c r="O100" s="23"/>
      <c r="P100" s="21"/>
      <c r="Q100" s="24" t="s">
        <v>16</v>
      </c>
      <c r="R100" s="24" t="s">
        <v>26</v>
      </c>
      <c r="S100" s="8"/>
      <c r="T100" s="8"/>
      <c r="U100" s="8"/>
      <c r="V100" s="8"/>
      <c r="W100" s="67"/>
      <c r="X100" s="67"/>
      <c r="Y100" s="67"/>
    </row>
    <row r="101" spans="1:25" x14ac:dyDescent="0.25">
      <c r="A101" s="19" t="s">
        <v>272</v>
      </c>
      <c r="B101" s="19" t="s">
        <v>15</v>
      </c>
      <c r="C101" s="20">
        <v>46230</v>
      </c>
      <c r="D101" s="20">
        <v>46230</v>
      </c>
      <c r="E101" s="20">
        <v>46230</v>
      </c>
      <c r="F101" s="20">
        <v>46232</v>
      </c>
      <c r="G101" s="20"/>
      <c r="H101" s="20"/>
      <c r="I101" s="20">
        <v>46232</v>
      </c>
      <c r="J101" s="20">
        <v>46232</v>
      </c>
      <c r="K101" s="21" t="s">
        <v>23</v>
      </c>
      <c r="L101" s="21" t="s">
        <v>336</v>
      </c>
      <c r="M101" s="22" t="s">
        <v>340</v>
      </c>
      <c r="N101" s="21"/>
      <c r="O101" s="23"/>
      <c r="P101" s="21"/>
      <c r="Q101" s="24" t="s">
        <v>16</v>
      </c>
      <c r="R101" s="24" t="s">
        <v>26</v>
      </c>
      <c r="S101" s="8"/>
      <c r="T101" s="8"/>
      <c r="U101" s="8"/>
      <c r="V101" s="8"/>
      <c r="W101" s="67"/>
      <c r="X101" s="67"/>
      <c r="Y101" s="67"/>
    </row>
    <row r="102" spans="1:25" x14ac:dyDescent="0.25">
      <c r="A102" s="19" t="s">
        <v>272</v>
      </c>
      <c r="B102" s="19" t="s">
        <v>15</v>
      </c>
      <c r="C102" s="20">
        <v>46230</v>
      </c>
      <c r="D102" s="20">
        <v>46230</v>
      </c>
      <c r="E102" s="20">
        <v>46231</v>
      </c>
      <c r="F102" s="20">
        <v>46232</v>
      </c>
      <c r="G102" s="20"/>
      <c r="H102" s="20"/>
      <c r="I102" s="20">
        <v>46232</v>
      </c>
      <c r="J102" s="20">
        <v>46232</v>
      </c>
      <c r="K102" s="21" t="s">
        <v>23</v>
      </c>
      <c r="L102" s="21" t="s">
        <v>338</v>
      </c>
      <c r="M102" s="22" t="s">
        <v>339</v>
      </c>
      <c r="N102" s="21"/>
      <c r="O102" s="23"/>
      <c r="P102" s="21"/>
      <c r="Q102" s="24" t="s">
        <v>16</v>
      </c>
      <c r="R102" s="24" t="s">
        <v>26</v>
      </c>
      <c r="S102" s="8"/>
      <c r="T102" s="8"/>
      <c r="U102" s="8"/>
      <c r="V102" s="8"/>
      <c r="W102" s="67"/>
      <c r="X102" s="67"/>
      <c r="Y102" s="67"/>
    </row>
    <row r="103" spans="1:25" x14ac:dyDescent="0.25">
      <c r="A103" s="19" t="s">
        <v>272</v>
      </c>
      <c r="B103" s="19" t="s">
        <v>24</v>
      </c>
      <c r="C103" s="20">
        <v>46230</v>
      </c>
      <c r="D103" s="20">
        <v>46230</v>
      </c>
      <c r="E103" s="20">
        <v>46230</v>
      </c>
      <c r="F103" s="20">
        <v>46238</v>
      </c>
      <c r="G103" s="20"/>
      <c r="H103" s="20"/>
      <c r="I103" s="20">
        <v>46238</v>
      </c>
      <c r="J103" s="20">
        <v>46238</v>
      </c>
      <c r="K103" s="21" t="s">
        <v>23</v>
      </c>
      <c r="L103" s="21" t="s">
        <v>341</v>
      </c>
      <c r="M103" s="22" t="s">
        <v>363</v>
      </c>
      <c r="N103" s="21"/>
      <c r="O103" s="23"/>
      <c r="P103" s="21"/>
      <c r="Q103" s="45" t="s">
        <v>26</v>
      </c>
      <c r="R103" s="25" t="s">
        <v>22</v>
      </c>
      <c r="S103" s="8"/>
      <c r="T103" s="8"/>
      <c r="U103" s="8"/>
      <c r="V103" s="8"/>
      <c r="W103" s="67"/>
      <c r="X103" s="67"/>
      <c r="Y103" s="67"/>
    </row>
    <row r="104" spans="1:25" x14ac:dyDescent="0.25">
      <c r="A104" s="19" t="s">
        <v>272</v>
      </c>
      <c r="B104" s="19" t="s">
        <v>15</v>
      </c>
      <c r="C104" s="20">
        <v>46231</v>
      </c>
      <c r="D104" s="20">
        <v>46231</v>
      </c>
      <c r="E104" s="20">
        <v>46231</v>
      </c>
      <c r="F104" s="20">
        <v>46232</v>
      </c>
      <c r="G104" s="20"/>
      <c r="H104" s="20"/>
      <c r="I104" s="20">
        <v>46232</v>
      </c>
      <c r="J104" s="20">
        <v>46232</v>
      </c>
      <c r="K104" s="21" t="s">
        <v>23</v>
      </c>
      <c r="L104" s="21" t="s">
        <v>342</v>
      </c>
      <c r="M104" s="22" t="s">
        <v>343</v>
      </c>
      <c r="N104" s="21"/>
      <c r="O104" s="23"/>
      <c r="P104" s="21"/>
      <c r="Q104" s="24" t="s">
        <v>16</v>
      </c>
      <c r="R104" s="24" t="s">
        <v>26</v>
      </c>
      <c r="S104" s="8"/>
      <c r="T104" s="8"/>
      <c r="U104" s="8"/>
      <c r="V104" s="8"/>
      <c r="W104" s="67"/>
      <c r="X104" s="67"/>
      <c r="Y104" s="67"/>
    </row>
    <row r="105" spans="1:25" x14ac:dyDescent="0.25">
      <c r="A105" s="19" t="s">
        <v>272</v>
      </c>
      <c r="B105" s="19" t="s">
        <v>25</v>
      </c>
      <c r="C105" s="20">
        <v>46231</v>
      </c>
      <c r="D105" s="20">
        <v>46231</v>
      </c>
      <c r="E105" s="20">
        <v>46232</v>
      </c>
      <c r="F105" s="20">
        <v>46269</v>
      </c>
      <c r="G105" s="20"/>
      <c r="H105" s="20"/>
      <c r="I105" s="20">
        <v>46269</v>
      </c>
      <c r="J105" s="20">
        <v>46269</v>
      </c>
      <c r="K105" s="21" t="s">
        <v>23</v>
      </c>
      <c r="L105" s="21" t="s">
        <v>344</v>
      </c>
      <c r="M105" s="22" t="s">
        <v>345</v>
      </c>
      <c r="N105" s="21"/>
      <c r="O105" s="23"/>
      <c r="P105" s="21"/>
      <c r="Q105" s="24" t="s">
        <v>16</v>
      </c>
      <c r="R105" s="24" t="s">
        <v>26</v>
      </c>
      <c r="S105" s="25" t="s">
        <v>63</v>
      </c>
      <c r="T105" s="25" t="s">
        <v>64</v>
      </c>
      <c r="U105" s="25" t="s">
        <v>65</v>
      </c>
      <c r="V105" s="25" t="s">
        <v>66</v>
      </c>
      <c r="W105" s="67"/>
      <c r="X105" s="67"/>
      <c r="Y105" s="67"/>
    </row>
    <row r="106" spans="1:25" x14ac:dyDescent="0.25">
      <c r="A106" s="19" t="s">
        <v>272</v>
      </c>
      <c r="B106" s="19" t="s">
        <v>40</v>
      </c>
      <c r="C106" s="20">
        <v>46232</v>
      </c>
      <c r="D106" s="20">
        <v>46232</v>
      </c>
      <c r="E106" s="20">
        <v>46233</v>
      </c>
      <c r="F106" s="20">
        <v>46233</v>
      </c>
      <c r="G106" s="20"/>
      <c r="H106" s="20"/>
      <c r="I106" s="20">
        <v>46233</v>
      </c>
      <c r="J106" s="20">
        <v>46233</v>
      </c>
      <c r="K106" s="21" t="s">
        <v>23</v>
      </c>
      <c r="L106" s="21" t="s">
        <v>346</v>
      </c>
      <c r="M106" s="22" t="s">
        <v>347</v>
      </c>
      <c r="N106" s="21"/>
      <c r="O106" s="23" t="s">
        <v>348</v>
      </c>
      <c r="P106" s="21"/>
      <c r="Q106" s="24" t="s">
        <v>26</v>
      </c>
      <c r="R106" s="25" t="s">
        <v>14</v>
      </c>
      <c r="S106" s="8"/>
      <c r="T106" s="8"/>
      <c r="U106" s="8"/>
      <c r="V106" s="8"/>
      <c r="W106" s="67"/>
      <c r="X106" s="67"/>
      <c r="Y106" s="67"/>
    </row>
    <row r="107" spans="1:25" x14ac:dyDescent="0.25">
      <c r="A107" s="19" t="s">
        <v>272</v>
      </c>
      <c r="B107" s="19" t="s">
        <v>15</v>
      </c>
      <c r="C107" s="20">
        <v>46233</v>
      </c>
      <c r="D107" s="20">
        <v>46233</v>
      </c>
      <c r="E107" s="20">
        <v>46233</v>
      </c>
      <c r="F107" s="20">
        <v>46234</v>
      </c>
      <c r="G107" s="20"/>
      <c r="H107" s="20"/>
      <c r="I107" s="20">
        <v>46234</v>
      </c>
      <c r="J107" s="20">
        <v>46234</v>
      </c>
      <c r="K107" s="21" t="s">
        <v>23</v>
      </c>
      <c r="L107" s="21" t="s">
        <v>349</v>
      </c>
      <c r="M107" s="22" t="s">
        <v>350</v>
      </c>
      <c r="N107" s="21"/>
      <c r="O107" s="23"/>
      <c r="P107" s="21"/>
      <c r="Q107" s="24" t="s">
        <v>16</v>
      </c>
      <c r="R107" s="24" t="s">
        <v>26</v>
      </c>
      <c r="S107" s="8"/>
      <c r="T107" s="8"/>
      <c r="U107" s="8"/>
      <c r="V107" s="8"/>
      <c r="W107" s="67"/>
      <c r="X107" s="67"/>
      <c r="Y107" s="67"/>
    </row>
    <row r="108" spans="1:25" x14ac:dyDescent="0.25">
      <c r="A108" s="19" t="s">
        <v>272</v>
      </c>
      <c r="B108" s="19" t="s">
        <v>15</v>
      </c>
      <c r="C108" s="20">
        <v>46233</v>
      </c>
      <c r="D108" s="20">
        <v>46233</v>
      </c>
      <c r="E108" s="20">
        <v>46233</v>
      </c>
      <c r="F108" s="20">
        <v>46239</v>
      </c>
      <c r="G108" s="20"/>
      <c r="H108" s="20"/>
      <c r="I108" s="20">
        <v>46239</v>
      </c>
      <c r="J108" s="20">
        <v>46239</v>
      </c>
      <c r="K108" s="21" t="s">
        <v>23</v>
      </c>
      <c r="L108" s="21" t="s">
        <v>354</v>
      </c>
      <c r="M108" s="22" t="s">
        <v>355</v>
      </c>
      <c r="N108" s="21"/>
      <c r="O108" s="23"/>
      <c r="P108" s="21"/>
      <c r="Q108" s="24" t="s">
        <v>16</v>
      </c>
      <c r="R108" s="24" t="s">
        <v>26</v>
      </c>
      <c r="S108" s="8"/>
      <c r="T108" s="8"/>
      <c r="U108" s="8"/>
      <c r="V108" s="8"/>
      <c r="W108" s="67"/>
      <c r="X108" s="67"/>
      <c r="Y108" s="67"/>
    </row>
    <row r="109" spans="1:25" x14ac:dyDescent="0.25">
      <c r="A109" s="19" t="s">
        <v>272</v>
      </c>
      <c r="B109" s="19" t="s">
        <v>25</v>
      </c>
      <c r="C109" s="20">
        <v>46240</v>
      </c>
      <c r="D109" s="20">
        <v>46240</v>
      </c>
      <c r="E109" s="20">
        <v>46240</v>
      </c>
      <c r="F109" s="20">
        <v>46240</v>
      </c>
      <c r="G109" s="20"/>
      <c r="H109" s="20"/>
      <c r="I109" s="20">
        <v>46253</v>
      </c>
      <c r="J109" s="20">
        <v>46253</v>
      </c>
      <c r="K109" s="21" t="s">
        <v>23</v>
      </c>
      <c r="L109" s="21" t="s">
        <v>356</v>
      </c>
      <c r="M109" s="22" t="s">
        <v>357</v>
      </c>
      <c r="N109" s="21"/>
      <c r="O109" s="23"/>
      <c r="P109" s="21" t="s">
        <v>375</v>
      </c>
      <c r="Q109" s="24" t="s">
        <v>16</v>
      </c>
      <c r="R109" s="24" t="s">
        <v>26</v>
      </c>
      <c r="S109" s="8"/>
      <c r="T109" s="8"/>
      <c r="U109" s="8"/>
      <c r="V109" s="8"/>
      <c r="W109" s="67"/>
      <c r="X109" s="67"/>
      <c r="Y109" s="67"/>
    </row>
    <row r="110" spans="1:25" x14ac:dyDescent="0.25">
      <c r="A110" s="19" t="s">
        <v>272</v>
      </c>
      <c r="B110" s="19" t="s">
        <v>107</v>
      </c>
      <c r="C110" s="20">
        <v>46240</v>
      </c>
      <c r="D110" s="20">
        <v>46240</v>
      </c>
      <c r="E110" s="20"/>
      <c r="F110" s="20"/>
      <c r="G110" s="20"/>
      <c r="H110" s="20"/>
      <c r="I110" s="20"/>
      <c r="J110" s="20"/>
      <c r="K110" s="21"/>
      <c r="L110" s="21" t="s">
        <v>358</v>
      </c>
      <c r="M110" s="22" t="s">
        <v>359</v>
      </c>
      <c r="N110" s="21"/>
      <c r="O110" s="23"/>
      <c r="P110" s="21" t="s">
        <v>384</v>
      </c>
      <c r="Q110" s="24"/>
      <c r="R110" s="24"/>
      <c r="S110" s="8"/>
      <c r="T110" s="8"/>
      <c r="U110" s="8"/>
      <c r="V110" s="8"/>
      <c r="W110" s="67"/>
      <c r="X110" s="67"/>
      <c r="Y110" s="67"/>
    </row>
    <row r="111" spans="1:25" x14ac:dyDescent="0.25">
      <c r="A111" s="19" t="s">
        <v>272</v>
      </c>
      <c r="B111" s="19" t="s">
        <v>40</v>
      </c>
      <c r="C111" s="20">
        <v>46240</v>
      </c>
      <c r="D111" s="20">
        <v>46240</v>
      </c>
      <c r="E111" s="20">
        <v>46241</v>
      </c>
      <c r="F111" s="20">
        <v>46245</v>
      </c>
      <c r="G111" s="20"/>
      <c r="H111" s="20"/>
      <c r="I111" s="20">
        <v>46245</v>
      </c>
      <c r="J111" s="20">
        <v>46245</v>
      </c>
      <c r="K111" s="21" t="s">
        <v>23</v>
      </c>
      <c r="L111" s="21" t="s">
        <v>360</v>
      </c>
      <c r="M111" s="22" t="s">
        <v>361</v>
      </c>
      <c r="N111" s="21"/>
      <c r="O111" s="23"/>
      <c r="P111" s="21"/>
      <c r="Q111" s="24" t="s">
        <v>26</v>
      </c>
      <c r="R111" s="45" t="s">
        <v>183</v>
      </c>
      <c r="S111" s="8"/>
      <c r="T111" s="8"/>
      <c r="U111" s="8"/>
      <c r="V111" s="8"/>
      <c r="W111" s="67"/>
      <c r="X111" s="67"/>
      <c r="Y111" s="67"/>
    </row>
    <row r="112" spans="1:25" x14ac:dyDescent="0.25">
      <c r="A112" s="19" t="s">
        <v>272</v>
      </c>
      <c r="B112" s="19" t="s">
        <v>40</v>
      </c>
      <c r="C112" s="20">
        <v>46245</v>
      </c>
      <c r="D112" s="20">
        <v>46245</v>
      </c>
      <c r="E112" s="20">
        <v>46245</v>
      </c>
      <c r="F112" s="20">
        <v>46246</v>
      </c>
      <c r="G112" s="20"/>
      <c r="H112" s="20"/>
      <c r="I112" s="20">
        <v>46253</v>
      </c>
      <c r="J112" s="20">
        <v>46253</v>
      </c>
      <c r="K112" s="21" t="s">
        <v>23</v>
      </c>
      <c r="L112" s="21" t="s">
        <v>364</v>
      </c>
      <c r="M112" s="22" t="s">
        <v>365</v>
      </c>
      <c r="N112" s="21"/>
      <c r="O112" s="23"/>
      <c r="P112" s="21"/>
      <c r="Q112" s="24" t="s">
        <v>26</v>
      </c>
      <c r="R112" s="45" t="s">
        <v>183</v>
      </c>
      <c r="S112" s="8"/>
      <c r="T112" s="8"/>
      <c r="U112" s="8"/>
      <c r="V112" s="8"/>
      <c r="W112" s="67"/>
      <c r="X112" s="67"/>
      <c r="Y112" s="67"/>
    </row>
    <row r="113" spans="1:25" x14ac:dyDescent="0.25">
      <c r="A113" s="19" t="s">
        <v>272</v>
      </c>
      <c r="B113" s="19" t="s">
        <v>15</v>
      </c>
      <c r="C113" s="20">
        <v>46246</v>
      </c>
      <c r="D113" s="20">
        <v>46247</v>
      </c>
      <c r="E113" s="20">
        <v>46246</v>
      </c>
      <c r="F113" s="20">
        <v>46254</v>
      </c>
      <c r="G113" s="20"/>
      <c r="H113" s="20"/>
      <c r="I113" s="20">
        <v>46254</v>
      </c>
      <c r="J113" s="20">
        <v>46254</v>
      </c>
      <c r="K113" s="21" t="s">
        <v>23</v>
      </c>
      <c r="L113" s="21" t="s">
        <v>373</v>
      </c>
      <c r="M113" s="22" t="s">
        <v>374</v>
      </c>
      <c r="N113" s="21"/>
      <c r="O113" s="23"/>
      <c r="P113" s="21"/>
      <c r="Q113" s="24" t="s">
        <v>16</v>
      </c>
      <c r="R113" s="24" t="s">
        <v>26</v>
      </c>
      <c r="S113" s="8"/>
      <c r="T113" s="8"/>
      <c r="U113" s="8"/>
      <c r="V113" s="8"/>
      <c r="W113" s="67"/>
      <c r="X113" s="67"/>
      <c r="Y113" s="67"/>
    </row>
    <row r="114" spans="1:25" x14ac:dyDescent="0.25">
      <c r="A114" s="19" t="s">
        <v>272</v>
      </c>
      <c r="B114" s="19" t="s">
        <v>25</v>
      </c>
      <c r="C114" s="20">
        <v>46251</v>
      </c>
      <c r="D114" s="20">
        <v>46251</v>
      </c>
      <c r="E114" s="20">
        <v>46252</v>
      </c>
      <c r="F114" s="20">
        <v>46254</v>
      </c>
      <c r="G114" s="20"/>
      <c r="H114" s="20"/>
      <c r="I114" s="20">
        <v>46255</v>
      </c>
      <c r="J114" s="20">
        <v>46255</v>
      </c>
      <c r="K114" s="21" t="s">
        <v>23</v>
      </c>
      <c r="L114" s="21" t="s">
        <v>376</v>
      </c>
      <c r="M114" s="22" t="s">
        <v>377</v>
      </c>
      <c r="N114" s="21"/>
      <c r="O114" s="23"/>
      <c r="P114" s="21"/>
      <c r="Q114" s="24" t="s">
        <v>16</v>
      </c>
      <c r="R114" s="24" t="s">
        <v>26</v>
      </c>
      <c r="S114" s="8"/>
      <c r="T114" s="8"/>
      <c r="U114" s="8"/>
      <c r="V114" s="8"/>
      <c r="W114" s="67"/>
      <c r="X114" s="67"/>
      <c r="Y114" s="67"/>
    </row>
    <row r="115" spans="1:25" x14ac:dyDescent="0.25">
      <c r="A115" s="19" t="s">
        <v>272</v>
      </c>
      <c r="B115" s="19" t="s">
        <v>24</v>
      </c>
      <c r="C115" s="20">
        <v>46252</v>
      </c>
      <c r="D115" s="20">
        <v>46252</v>
      </c>
      <c r="E115" s="20">
        <v>46252</v>
      </c>
      <c r="F115" s="20"/>
      <c r="G115" s="20"/>
      <c r="H115" s="20"/>
      <c r="I115" s="20"/>
      <c r="J115" s="20"/>
      <c r="K115" s="21"/>
      <c r="L115" s="21" t="s">
        <v>380</v>
      </c>
      <c r="M115" s="22" t="s">
        <v>381</v>
      </c>
      <c r="N115" s="21"/>
      <c r="O115" s="23"/>
      <c r="P115" s="21"/>
      <c r="Q115" s="45" t="s">
        <v>26</v>
      </c>
      <c r="R115" s="25" t="s">
        <v>22</v>
      </c>
      <c r="S115" s="8"/>
      <c r="T115" s="8"/>
      <c r="U115" s="8"/>
      <c r="V115" s="8"/>
      <c r="W115" s="67"/>
      <c r="X115" s="67"/>
      <c r="Y115" s="67"/>
    </row>
    <row r="116" spans="1:25" x14ac:dyDescent="0.25">
      <c r="A116" s="19" t="s">
        <v>272</v>
      </c>
      <c r="B116" s="19" t="s">
        <v>24</v>
      </c>
      <c r="C116" s="20">
        <v>46258</v>
      </c>
      <c r="D116" s="20">
        <v>46258</v>
      </c>
      <c r="E116" s="20">
        <v>46258</v>
      </c>
      <c r="F116" s="20">
        <v>46258</v>
      </c>
      <c r="G116" s="20"/>
      <c r="H116" s="20"/>
      <c r="I116" s="20">
        <v>46260</v>
      </c>
      <c r="J116" s="20">
        <v>46260</v>
      </c>
      <c r="K116" s="21" t="s">
        <v>23</v>
      </c>
      <c r="L116" s="21" t="s">
        <v>382</v>
      </c>
      <c r="M116" s="22" t="s">
        <v>383</v>
      </c>
      <c r="N116" s="21"/>
      <c r="O116" s="23"/>
      <c r="P116" s="21"/>
      <c r="Q116" s="45" t="s">
        <v>26</v>
      </c>
      <c r="R116" s="25" t="s">
        <v>22</v>
      </c>
      <c r="S116" s="8"/>
      <c r="T116" s="8"/>
      <c r="U116" s="8"/>
      <c r="V116" s="8"/>
      <c r="W116" s="67"/>
      <c r="X116" s="67"/>
      <c r="Y116" s="67"/>
    </row>
    <row r="117" spans="1:25" x14ac:dyDescent="0.25">
      <c r="A117" s="19" t="s">
        <v>272</v>
      </c>
      <c r="B117" s="19" t="s">
        <v>15</v>
      </c>
      <c r="C117" s="20">
        <v>46261</v>
      </c>
      <c r="D117" s="20">
        <v>46261</v>
      </c>
      <c r="E117" s="43">
        <v>46050</v>
      </c>
      <c r="F117" s="20">
        <v>46272</v>
      </c>
      <c r="G117" s="20"/>
      <c r="H117" s="20"/>
      <c r="I117" s="20">
        <v>46272</v>
      </c>
      <c r="J117" s="20">
        <v>46272</v>
      </c>
      <c r="K117" s="21" t="s">
        <v>23</v>
      </c>
      <c r="L117" s="21" t="s">
        <v>388</v>
      </c>
      <c r="M117" s="22" t="s">
        <v>389</v>
      </c>
      <c r="N117" s="21"/>
      <c r="O117" s="23"/>
      <c r="P117" s="21"/>
      <c r="Q117" s="24" t="s">
        <v>16</v>
      </c>
      <c r="R117" s="24" t="s">
        <v>26</v>
      </c>
      <c r="S117" s="8"/>
      <c r="T117" s="8"/>
      <c r="U117" s="8"/>
      <c r="V117" s="8"/>
      <c r="W117" s="67"/>
      <c r="X117" s="67"/>
      <c r="Y117" s="67"/>
    </row>
    <row r="118" spans="1:25" x14ac:dyDescent="0.25">
      <c r="A118" s="19" t="s">
        <v>272</v>
      </c>
      <c r="B118" s="19" t="s">
        <v>24</v>
      </c>
      <c r="C118" s="20">
        <v>46266</v>
      </c>
      <c r="D118" s="20">
        <v>46266</v>
      </c>
      <c r="E118" s="20">
        <v>46266</v>
      </c>
      <c r="F118" s="20">
        <v>46266</v>
      </c>
      <c r="G118" s="20"/>
      <c r="H118" s="20"/>
      <c r="I118" s="20">
        <v>46268</v>
      </c>
      <c r="J118" s="20">
        <v>46268</v>
      </c>
      <c r="K118" s="21" t="s">
        <v>23</v>
      </c>
      <c r="L118" s="21" t="s">
        <v>392</v>
      </c>
      <c r="M118" s="22" t="s">
        <v>391</v>
      </c>
      <c r="N118" s="21"/>
      <c r="O118" s="23"/>
      <c r="P118" s="21"/>
      <c r="Q118" s="45" t="s">
        <v>26</v>
      </c>
      <c r="R118" s="25" t="s">
        <v>22</v>
      </c>
      <c r="S118" s="8"/>
      <c r="T118" s="8"/>
      <c r="U118" s="8"/>
      <c r="V118" s="8"/>
      <c r="W118" s="67"/>
      <c r="X118" s="67"/>
      <c r="Y118" s="67"/>
    </row>
    <row r="119" spans="1:25" x14ac:dyDescent="0.25">
      <c r="A119" s="13" t="s">
        <v>272</v>
      </c>
      <c r="B119" s="13" t="s">
        <v>24</v>
      </c>
      <c r="C119" s="14">
        <v>46266</v>
      </c>
      <c r="D119" s="14">
        <v>46266</v>
      </c>
      <c r="E119" s="14">
        <v>46266</v>
      </c>
      <c r="F119" s="14"/>
      <c r="G119" s="14"/>
      <c r="H119" s="14"/>
      <c r="I119" s="14"/>
      <c r="J119" s="14"/>
      <c r="K119" s="15"/>
      <c r="L119" s="15" t="s">
        <v>393</v>
      </c>
      <c r="M119" s="16" t="s">
        <v>394</v>
      </c>
      <c r="N119" s="15"/>
      <c r="O119" s="17"/>
      <c r="P119" s="15"/>
      <c r="Q119" s="29" t="s">
        <v>26</v>
      </c>
      <c r="R119" s="8" t="s">
        <v>415</v>
      </c>
      <c r="S119" s="8" t="s">
        <v>416</v>
      </c>
      <c r="T119" s="8" t="s">
        <v>22</v>
      </c>
      <c r="U119" s="8" t="s">
        <v>65</v>
      </c>
      <c r="V119" s="8" t="s">
        <v>66</v>
      </c>
      <c r="W119" s="67"/>
      <c r="X119" s="67"/>
      <c r="Y119" s="67"/>
    </row>
    <row r="120" spans="1:25" x14ac:dyDescent="0.25">
      <c r="A120" s="13" t="s">
        <v>272</v>
      </c>
      <c r="B120" s="13" t="s">
        <v>107</v>
      </c>
      <c r="C120" s="14">
        <v>46266</v>
      </c>
      <c r="D120" s="14">
        <v>46266</v>
      </c>
      <c r="E120" s="14">
        <v>46266</v>
      </c>
      <c r="F120" s="14">
        <v>46266</v>
      </c>
      <c r="G120" s="14"/>
      <c r="H120" s="14"/>
      <c r="I120" s="14"/>
      <c r="J120" s="14"/>
      <c r="K120" s="15"/>
      <c r="L120" s="15" t="s">
        <v>452</v>
      </c>
      <c r="M120" s="16" t="s">
        <v>395</v>
      </c>
      <c r="N120" s="15"/>
      <c r="O120" s="17"/>
      <c r="P120" s="15"/>
      <c r="Q120" s="18" t="s">
        <v>16</v>
      </c>
      <c r="R120" s="18" t="s">
        <v>26</v>
      </c>
      <c r="S120" s="8" t="s">
        <v>396</v>
      </c>
      <c r="T120" s="8" t="s">
        <v>63</v>
      </c>
      <c r="U120" s="5" t="s">
        <v>64</v>
      </c>
      <c r="V120" s="8" t="s">
        <v>65</v>
      </c>
      <c r="W120" s="8" t="s">
        <v>66</v>
      </c>
      <c r="X120" s="8" t="s">
        <v>205</v>
      </c>
      <c r="Y120" s="67"/>
    </row>
    <row r="121" spans="1:25" x14ac:dyDescent="0.25">
      <c r="A121" s="19" t="s">
        <v>272</v>
      </c>
      <c r="B121" s="19" t="s">
        <v>40</v>
      </c>
      <c r="C121" s="20">
        <v>46267</v>
      </c>
      <c r="D121" s="20">
        <v>46267</v>
      </c>
      <c r="E121" s="20">
        <v>46267</v>
      </c>
      <c r="F121" s="20">
        <v>46267</v>
      </c>
      <c r="G121" s="20"/>
      <c r="H121" s="20"/>
      <c r="I121" s="20">
        <v>46267</v>
      </c>
      <c r="J121" s="20">
        <v>46267</v>
      </c>
      <c r="K121" s="21" t="s">
        <v>23</v>
      </c>
      <c r="L121" s="21" t="s">
        <v>398</v>
      </c>
      <c r="M121" s="22" t="s">
        <v>397</v>
      </c>
      <c r="N121" s="21"/>
      <c r="O121" s="23"/>
      <c r="P121" s="21"/>
      <c r="Q121" s="45" t="s">
        <v>26</v>
      </c>
      <c r="R121" s="45" t="s">
        <v>14</v>
      </c>
      <c r="S121" s="8"/>
      <c r="T121" s="8"/>
      <c r="U121" s="5"/>
      <c r="V121" s="8"/>
      <c r="W121" s="8"/>
      <c r="X121" s="8"/>
      <c r="Y121" s="67"/>
    </row>
    <row r="122" spans="1:25" x14ac:dyDescent="0.25">
      <c r="A122" s="19" t="s">
        <v>272</v>
      </c>
      <c r="B122" s="13" t="s">
        <v>25</v>
      </c>
      <c r="C122" s="14">
        <v>46269</v>
      </c>
      <c r="D122" s="14">
        <v>46269</v>
      </c>
      <c r="E122" s="14">
        <v>46269</v>
      </c>
      <c r="F122" s="14"/>
      <c r="G122" s="14"/>
      <c r="H122" s="14"/>
      <c r="I122" s="14"/>
      <c r="J122" s="14"/>
      <c r="K122" s="15"/>
      <c r="L122" s="15" t="s">
        <v>405</v>
      </c>
      <c r="M122" s="16" t="s">
        <v>406</v>
      </c>
      <c r="N122" s="15"/>
      <c r="O122" s="17"/>
      <c r="P122" s="15"/>
      <c r="Q122" s="18" t="s">
        <v>16</v>
      </c>
      <c r="R122" s="18" t="s">
        <v>26</v>
      </c>
      <c r="S122" s="29" t="s">
        <v>14</v>
      </c>
      <c r="T122" s="8" t="s">
        <v>63</v>
      </c>
      <c r="U122" s="8" t="s">
        <v>22</v>
      </c>
      <c r="V122" s="8" t="s">
        <v>64</v>
      </c>
      <c r="W122" s="8" t="s">
        <v>65</v>
      </c>
      <c r="X122" s="8" t="s">
        <v>66</v>
      </c>
      <c r="Y122" s="67"/>
    </row>
    <row r="123" spans="1:25" x14ac:dyDescent="0.25">
      <c r="A123" s="19" t="s">
        <v>272</v>
      </c>
      <c r="B123" s="19" t="s">
        <v>24</v>
      </c>
      <c r="C123" s="20">
        <v>46272</v>
      </c>
      <c r="D123" s="20">
        <v>46272</v>
      </c>
      <c r="E123" s="20">
        <v>46272</v>
      </c>
      <c r="F123" s="20">
        <v>46272</v>
      </c>
      <c r="G123" s="20"/>
      <c r="H123" s="20"/>
      <c r="I123" s="20">
        <v>46279</v>
      </c>
      <c r="J123" s="20">
        <v>46279</v>
      </c>
      <c r="K123" s="21" t="s">
        <v>23</v>
      </c>
      <c r="L123" s="21" t="s">
        <v>407</v>
      </c>
      <c r="M123" s="22" t="s">
        <v>408</v>
      </c>
      <c r="N123" s="21"/>
      <c r="O123" s="23" t="s">
        <v>409</v>
      </c>
      <c r="P123" s="21"/>
      <c r="Q123" s="24" t="s">
        <v>26</v>
      </c>
      <c r="R123" s="25" t="s">
        <v>22</v>
      </c>
      <c r="S123" s="25" t="s">
        <v>64</v>
      </c>
      <c r="T123" s="8"/>
      <c r="U123" s="8"/>
      <c r="V123" s="8"/>
      <c r="W123" s="8"/>
      <c r="X123" s="67"/>
      <c r="Y123" s="67"/>
    </row>
    <row r="124" spans="1:25" x14ac:dyDescent="0.25">
      <c r="A124" s="13" t="s">
        <v>272</v>
      </c>
      <c r="B124" s="13" t="s">
        <v>107</v>
      </c>
      <c r="C124" s="14">
        <v>46272</v>
      </c>
      <c r="D124" s="14">
        <v>46272</v>
      </c>
      <c r="E124" s="14">
        <v>46272</v>
      </c>
      <c r="F124" s="14"/>
      <c r="G124" s="14"/>
      <c r="H124" s="14"/>
      <c r="I124" s="14"/>
      <c r="J124" s="14"/>
      <c r="K124" s="15"/>
      <c r="L124" s="15" t="s">
        <v>410</v>
      </c>
      <c r="M124" s="16" t="s">
        <v>411</v>
      </c>
      <c r="N124" s="15"/>
      <c r="O124" s="17"/>
      <c r="P124" s="15"/>
      <c r="Q124" s="18" t="s">
        <v>16</v>
      </c>
      <c r="R124" s="18" t="s">
        <v>26</v>
      </c>
      <c r="S124" s="8" t="s">
        <v>63</v>
      </c>
      <c r="T124" s="8" t="s">
        <v>64</v>
      </c>
      <c r="U124" s="8" t="s">
        <v>65</v>
      </c>
      <c r="V124" s="8" t="s">
        <v>66</v>
      </c>
      <c r="W124" s="8"/>
      <c r="X124" s="67"/>
      <c r="Y124" s="67"/>
    </row>
    <row r="125" spans="1:25" x14ac:dyDescent="0.25">
      <c r="A125" s="13" t="s">
        <v>272</v>
      </c>
      <c r="B125" s="13" t="s">
        <v>40</v>
      </c>
      <c r="C125" s="14">
        <v>46274</v>
      </c>
      <c r="D125" s="14">
        <v>46274</v>
      </c>
      <c r="E125" s="14">
        <v>46274</v>
      </c>
      <c r="F125" s="14">
        <v>46286</v>
      </c>
      <c r="G125" s="14"/>
      <c r="H125" s="14"/>
      <c r="I125" s="14"/>
      <c r="J125" s="14"/>
      <c r="K125" s="15"/>
      <c r="L125" s="15" t="s">
        <v>417</v>
      </c>
      <c r="M125" s="16" t="s">
        <v>418</v>
      </c>
      <c r="N125" s="15"/>
      <c r="O125" s="17"/>
      <c r="P125" s="15"/>
      <c r="Q125" s="29" t="s">
        <v>26</v>
      </c>
      <c r="R125" s="29" t="s">
        <v>14</v>
      </c>
      <c r="S125" s="8"/>
      <c r="T125" s="8"/>
      <c r="U125" s="8"/>
      <c r="V125" s="8"/>
      <c r="W125" s="8"/>
      <c r="X125" s="67"/>
      <c r="Y125" s="67"/>
    </row>
    <row r="126" spans="1:25" x14ac:dyDescent="0.25">
      <c r="A126" s="13" t="s">
        <v>272</v>
      </c>
      <c r="B126" s="19" t="s">
        <v>107</v>
      </c>
      <c r="C126" s="20">
        <v>46274</v>
      </c>
      <c r="D126" s="20">
        <v>46274</v>
      </c>
      <c r="E126" s="20">
        <v>46274</v>
      </c>
      <c r="F126" s="20"/>
      <c r="G126" s="20"/>
      <c r="H126" s="20"/>
      <c r="I126" s="20"/>
      <c r="J126" s="20"/>
      <c r="K126" s="21"/>
      <c r="L126" s="21" t="s">
        <v>419</v>
      </c>
      <c r="M126" s="22" t="s">
        <v>420</v>
      </c>
      <c r="N126" s="21"/>
      <c r="O126" s="23"/>
      <c r="P126" s="21"/>
      <c r="Q126" s="29"/>
      <c r="R126" s="29"/>
      <c r="S126" s="8"/>
      <c r="T126" s="8"/>
      <c r="U126" s="8"/>
      <c r="V126" s="8"/>
      <c r="W126" s="8"/>
      <c r="X126" s="67"/>
      <c r="Y126" s="67"/>
    </row>
    <row r="127" spans="1:25" x14ac:dyDescent="0.25">
      <c r="A127" s="13" t="s">
        <v>272</v>
      </c>
      <c r="B127" s="19" t="s">
        <v>24</v>
      </c>
      <c r="C127" s="20">
        <v>46274</v>
      </c>
      <c r="D127" s="20">
        <v>46274</v>
      </c>
      <c r="E127" s="20">
        <v>46274</v>
      </c>
      <c r="F127" s="20">
        <v>46280</v>
      </c>
      <c r="G127" s="20"/>
      <c r="H127" s="20"/>
      <c r="I127" s="20">
        <v>46281</v>
      </c>
      <c r="J127" s="20">
        <v>46281</v>
      </c>
      <c r="K127" s="21" t="s">
        <v>23</v>
      </c>
      <c r="L127" s="21" t="s">
        <v>421</v>
      </c>
      <c r="M127" s="76" t="s">
        <v>422</v>
      </c>
      <c r="N127" s="21"/>
      <c r="O127" s="23"/>
      <c r="P127" s="21"/>
      <c r="Q127" s="24" t="s">
        <v>26</v>
      </c>
      <c r="R127" s="25" t="s">
        <v>22</v>
      </c>
      <c r="S127" s="8"/>
      <c r="T127" s="8"/>
      <c r="U127" s="8"/>
      <c r="V127" s="8"/>
      <c r="W127" s="8"/>
      <c r="X127" s="67"/>
      <c r="Y127" s="67"/>
    </row>
    <row r="128" spans="1:25" x14ac:dyDescent="0.25">
      <c r="A128" s="13" t="s">
        <v>272</v>
      </c>
      <c r="B128" s="13" t="s">
        <v>424</v>
      </c>
      <c r="C128" s="14"/>
      <c r="D128" s="14"/>
      <c r="E128" s="14"/>
      <c r="F128" s="14"/>
      <c r="G128" s="14"/>
      <c r="H128" s="14"/>
      <c r="I128" s="14"/>
      <c r="J128" s="14"/>
      <c r="K128" s="15"/>
      <c r="L128" s="15" t="s">
        <v>423</v>
      </c>
      <c r="M128" s="77"/>
      <c r="N128" s="15"/>
      <c r="O128" s="17"/>
      <c r="P128" s="15"/>
      <c r="Q128" s="18"/>
      <c r="R128" s="8"/>
      <c r="S128" s="8"/>
      <c r="T128" s="8"/>
      <c r="U128" s="8"/>
      <c r="V128" s="8"/>
      <c r="W128" s="8"/>
      <c r="X128" s="67"/>
      <c r="Y128" s="67"/>
    </row>
    <row r="129" spans="1:29" x14ac:dyDescent="0.25">
      <c r="A129" s="13" t="s">
        <v>272</v>
      </c>
      <c r="B129" s="13" t="s">
        <v>15</v>
      </c>
      <c r="C129" s="14">
        <v>46281</v>
      </c>
      <c r="D129" s="14">
        <v>46281</v>
      </c>
      <c r="E129" s="14">
        <v>46282</v>
      </c>
      <c r="F129" s="14">
        <v>46286</v>
      </c>
      <c r="G129" s="14"/>
      <c r="H129" s="14"/>
      <c r="I129" s="14"/>
      <c r="J129" s="14"/>
      <c r="K129" s="15"/>
      <c r="L129" s="15" t="s">
        <v>428</v>
      </c>
      <c r="M129" s="77" t="s">
        <v>429</v>
      </c>
      <c r="N129" s="15"/>
      <c r="O129" s="17"/>
      <c r="P129" s="15"/>
      <c r="Q129" s="18" t="s">
        <v>16</v>
      </c>
      <c r="R129" s="18" t="s">
        <v>26</v>
      </c>
      <c r="S129" s="8" t="s">
        <v>22</v>
      </c>
      <c r="T129" s="8" t="s">
        <v>64</v>
      </c>
      <c r="U129" s="8"/>
      <c r="V129" s="8"/>
      <c r="W129" s="8"/>
      <c r="X129" s="67"/>
      <c r="Y129" s="67"/>
    </row>
    <row r="130" spans="1:29" x14ac:dyDescent="0.25">
      <c r="A130" s="19" t="s">
        <v>272</v>
      </c>
      <c r="B130" s="19" t="s">
        <v>15</v>
      </c>
      <c r="C130" s="20">
        <v>46282</v>
      </c>
      <c r="D130" s="20">
        <v>46282</v>
      </c>
      <c r="E130" s="20">
        <v>46282</v>
      </c>
      <c r="F130" s="20"/>
      <c r="G130" s="20"/>
      <c r="H130" s="20"/>
      <c r="I130" s="20"/>
      <c r="J130" s="20"/>
      <c r="K130" s="21"/>
      <c r="L130" s="21" t="s">
        <v>430</v>
      </c>
      <c r="M130" s="76" t="s">
        <v>432</v>
      </c>
      <c r="N130" s="21"/>
      <c r="O130" s="23"/>
      <c r="P130" s="21"/>
      <c r="Q130" s="18"/>
      <c r="R130" s="18"/>
      <c r="S130" s="8"/>
      <c r="T130" s="8"/>
      <c r="U130" s="8"/>
      <c r="V130" s="8"/>
      <c r="W130" s="8"/>
      <c r="X130" s="67"/>
      <c r="Y130" s="67"/>
    </row>
    <row r="131" spans="1:29" x14ac:dyDescent="0.25">
      <c r="A131" s="19" t="s">
        <v>272</v>
      </c>
      <c r="B131" s="19" t="s">
        <v>25</v>
      </c>
      <c r="C131" s="20">
        <v>46283</v>
      </c>
      <c r="D131" s="20">
        <v>46283</v>
      </c>
      <c r="E131" s="20">
        <v>46286</v>
      </c>
      <c r="F131" s="20">
        <v>46286</v>
      </c>
      <c r="G131" s="20"/>
      <c r="H131" s="20"/>
      <c r="I131" s="20">
        <v>46286</v>
      </c>
      <c r="J131" s="20">
        <v>46286</v>
      </c>
      <c r="K131" s="21" t="s">
        <v>23</v>
      </c>
      <c r="L131" s="21" t="s">
        <v>431</v>
      </c>
      <c r="M131" s="76" t="s">
        <v>433</v>
      </c>
      <c r="N131" s="21"/>
      <c r="O131" s="23"/>
      <c r="P131" s="21"/>
      <c r="Q131" s="24" t="s">
        <v>16</v>
      </c>
      <c r="R131" s="24" t="s">
        <v>26</v>
      </c>
      <c r="S131" s="8"/>
      <c r="T131" s="8"/>
      <c r="U131" s="8"/>
      <c r="V131" s="8"/>
      <c r="W131" s="8"/>
      <c r="X131" s="67"/>
      <c r="Y131" s="67"/>
    </row>
    <row r="132" spans="1:29" x14ac:dyDescent="0.25">
      <c r="A132" s="19" t="s">
        <v>272</v>
      </c>
      <c r="B132" s="19" t="s">
        <v>24</v>
      </c>
      <c r="C132" s="20">
        <v>46283</v>
      </c>
      <c r="D132" s="20">
        <v>46283</v>
      </c>
      <c r="E132" s="20">
        <v>46283</v>
      </c>
      <c r="F132" s="20">
        <v>46286</v>
      </c>
      <c r="G132" s="20"/>
      <c r="H132" s="20"/>
      <c r="I132" s="20">
        <v>46286</v>
      </c>
      <c r="J132" s="20">
        <v>46286</v>
      </c>
      <c r="K132" s="21" t="s">
        <v>23</v>
      </c>
      <c r="L132" s="21" t="s">
        <v>434</v>
      </c>
      <c r="M132" s="76" t="s">
        <v>435</v>
      </c>
      <c r="N132" s="21"/>
      <c r="O132" s="23"/>
      <c r="P132" s="21"/>
      <c r="Q132" s="24" t="s">
        <v>26</v>
      </c>
      <c r="R132" s="24" t="s">
        <v>146</v>
      </c>
      <c r="S132" s="24" t="s">
        <v>42</v>
      </c>
      <c r="T132" s="8"/>
      <c r="U132" s="8"/>
      <c r="V132" s="8"/>
      <c r="W132" s="8"/>
      <c r="X132" s="67"/>
      <c r="Y132" s="67"/>
    </row>
    <row r="133" spans="1:29" x14ac:dyDescent="0.25">
      <c r="A133" s="19" t="s">
        <v>272</v>
      </c>
      <c r="B133" s="19" t="s">
        <v>40</v>
      </c>
      <c r="C133" s="20">
        <v>46288</v>
      </c>
      <c r="D133" s="20">
        <v>46288</v>
      </c>
      <c r="E133" s="20">
        <v>46289</v>
      </c>
      <c r="F133" s="20">
        <v>46293</v>
      </c>
      <c r="G133" s="20"/>
      <c r="H133" s="20"/>
      <c r="I133" s="20">
        <v>46293</v>
      </c>
      <c r="J133" s="20">
        <v>46293</v>
      </c>
      <c r="K133" s="21" t="s">
        <v>23</v>
      </c>
      <c r="L133" s="21" t="s">
        <v>439</v>
      </c>
      <c r="M133" s="76" t="s">
        <v>69</v>
      </c>
      <c r="N133" s="21"/>
      <c r="O133" s="23"/>
      <c r="P133" s="21"/>
      <c r="Q133" s="45" t="s">
        <v>26</v>
      </c>
      <c r="R133" s="45" t="s">
        <v>14</v>
      </c>
      <c r="S133" s="18"/>
      <c r="T133" s="8"/>
      <c r="U133" s="8"/>
      <c r="V133" s="8"/>
      <c r="W133" s="8"/>
      <c r="X133" s="67"/>
      <c r="Y133" s="67"/>
    </row>
    <row r="134" spans="1:29" x14ac:dyDescent="0.25">
      <c r="A134" s="19" t="s">
        <v>272</v>
      </c>
      <c r="B134" s="19" t="s">
        <v>40</v>
      </c>
      <c r="C134" s="20">
        <v>46288</v>
      </c>
      <c r="D134" s="20">
        <v>46288</v>
      </c>
      <c r="E134" s="20">
        <v>46289</v>
      </c>
      <c r="F134" s="20">
        <v>46293</v>
      </c>
      <c r="G134" s="20"/>
      <c r="H134" s="20"/>
      <c r="I134" s="20">
        <v>46293</v>
      </c>
      <c r="J134" s="20">
        <v>46293</v>
      </c>
      <c r="K134" s="21" t="s">
        <v>23</v>
      </c>
      <c r="L134" s="21" t="s">
        <v>440</v>
      </c>
      <c r="M134" s="76" t="s">
        <v>441</v>
      </c>
      <c r="N134" s="21"/>
      <c r="O134" s="23"/>
      <c r="P134" s="21"/>
      <c r="Q134" s="45" t="s">
        <v>26</v>
      </c>
      <c r="R134" s="45" t="s">
        <v>14</v>
      </c>
      <c r="S134" s="18"/>
      <c r="T134" s="8"/>
      <c r="U134" s="8"/>
      <c r="V134" s="8"/>
      <c r="W134" s="8"/>
      <c r="X134" s="67"/>
      <c r="Y134" s="67"/>
    </row>
    <row r="135" spans="1:29" s="89" customFormat="1" x14ac:dyDescent="0.25">
      <c r="A135" s="13" t="s">
        <v>272</v>
      </c>
      <c r="B135" s="80" t="s">
        <v>25</v>
      </c>
      <c r="C135" s="81">
        <v>46294</v>
      </c>
      <c r="D135" s="81">
        <v>46294</v>
      </c>
      <c r="E135" s="81">
        <v>46294</v>
      </c>
      <c r="F135" s="81"/>
      <c r="G135" s="81"/>
      <c r="H135" s="81"/>
      <c r="I135" s="81"/>
      <c r="J135" s="81"/>
      <c r="K135" s="82"/>
      <c r="L135" s="82" t="s">
        <v>453</v>
      </c>
      <c r="M135" s="83" t="s">
        <v>454</v>
      </c>
      <c r="N135" s="82"/>
      <c r="O135" s="84"/>
      <c r="P135" s="82"/>
      <c r="Q135" s="18" t="s">
        <v>16</v>
      </c>
      <c r="R135" s="18" t="s">
        <v>26</v>
      </c>
      <c r="S135" s="86"/>
      <c r="T135" s="87"/>
      <c r="U135" s="87"/>
      <c r="V135" s="87"/>
      <c r="W135" s="87"/>
      <c r="X135" s="88"/>
      <c r="Y135" s="88"/>
    </row>
    <row r="136" spans="1:29" s="89" customFormat="1" x14ac:dyDescent="0.25">
      <c r="A136" s="13" t="s">
        <v>272</v>
      </c>
      <c r="B136" s="80" t="s">
        <v>40</v>
      </c>
      <c r="C136" s="81">
        <v>46294</v>
      </c>
      <c r="D136" s="81">
        <v>46294</v>
      </c>
      <c r="E136" s="81"/>
      <c r="F136" s="81"/>
      <c r="G136" s="81"/>
      <c r="H136" s="81"/>
      <c r="I136" s="81"/>
      <c r="J136" s="81"/>
      <c r="K136" s="82"/>
      <c r="L136" s="82" t="s">
        <v>455</v>
      </c>
      <c r="M136" s="83" t="s">
        <v>456</v>
      </c>
      <c r="N136" s="82"/>
      <c r="O136" s="84"/>
      <c r="P136" s="82"/>
      <c r="Q136" s="85" t="s">
        <v>26</v>
      </c>
      <c r="R136" s="85" t="s">
        <v>183</v>
      </c>
      <c r="S136" s="86"/>
      <c r="T136" s="87"/>
      <c r="U136" s="87"/>
      <c r="V136" s="87"/>
      <c r="W136" s="87"/>
      <c r="X136" s="88"/>
      <c r="Y136" s="88"/>
    </row>
    <row r="137" spans="1:29" s="89" customFormat="1" x14ac:dyDescent="0.25">
      <c r="A137" s="13" t="s">
        <v>272</v>
      </c>
      <c r="B137" s="80" t="s">
        <v>40</v>
      </c>
      <c r="C137" s="81">
        <v>46294</v>
      </c>
      <c r="D137" s="81">
        <v>46294</v>
      </c>
      <c r="E137" s="81">
        <v>46294</v>
      </c>
      <c r="F137" s="81"/>
      <c r="G137" s="81"/>
      <c r="H137" s="81"/>
      <c r="I137" s="81"/>
      <c r="J137" s="81"/>
      <c r="K137" s="82"/>
      <c r="L137" s="82" t="s">
        <v>457</v>
      </c>
      <c r="M137" s="83" t="s">
        <v>458</v>
      </c>
      <c r="N137" s="82"/>
      <c r="O137" s="84"/>
      <c r="P137" s="82"/>
      <c r="Q137" s="85" t="s">
        <v>26</v>
      </c>
      <c r="R137" s="85" t="s">
        <v>14</v>
      </c>
      <c r="S137" s="86"/>
      <c r="T137" s="87"/>
      <c r="U137" s="87"/>
      <c r="V137" s="87"/>
      <c r="W137" s="87"/>
      <c r="X137" s="88"/>
      <c r="Y137" s="88"/>
    </row>
    <row r="138" spans="1:29" s="89" customFormat="1" x14ac:dyDescent="0.25">
      <c r="A138" s="13" t="s">
        <v>272</v>
      </c>
      <c r="B138" s="80" t="s">
        <v>40</v>
      </c>
      <c r="C138" s="81">
        <v>46294</v>
      </c>
      <c r="D138" s="81">
        <v>46294</v>
      </c>
      <c r="E138" s="81">
        <v>46294</v>
      </c>
      <c r="F138" s="81"/>
      <c r="G138" s="81"/>
      <c r="H138" s="81"/>
      <c r="I138" s="81"/>
      <c r="J138" s="81"/>
      <c r="K138" s="82"/>
      <c r="L138" s="82" t="s">
        <v>459</v>
      </c>
      <c r="M138" s="83" t="s">
        <v>461</v>
      </c>
      <c r="N138" s="82"/>
      <c r="O138" s="84"/>
      <c r="P138" s="82"/>
      <c r="Q138" s="85" t="s">
        <v>26</v>
      </c>
      <c r="R138" s="85" t="s">
        <v>14</v>
      </c>
      <c r="S138" s="86"/>
      <c r="T138" s="87"/>
      <c r="U138" s="87"/>
      <c r="V138" s="87"/>
      <c r="W138" s="87"/>
      <c r="X138" s="88"/>
      <c r="Y138" s="88"/>
    </row>
    <row r="139" spans="1:29" s="89" customFormat="1" x14ac:dyDescent="0.25">
      <c r="A139" s="13" t="s">
        <v>272</v>
      </c>
      <c r="B139" s="80" t="s">
        <v>40</v>
      </c>
      <c r="C139" s="81">
        <v>46294</v>
      </c>
      <c r="D139" s="81">
        <v>46294</v>
      </c>
      <c r="E139" s="81">
        <v>46294</v>
      </c>
      <c r="F139" s="81"/>
      <c r="G139" s="81"/>
      <c r="H139" s="81"/>
      <c r="I139" s="81"/>
      <c r="J139" s="81"/>
      <c r="K139" s="82"/>
      <c r="L139" s="82" t="s">
        <v>460</v>
      </c>
      <c r="M139" s="83" t="s">
        <v>462</v>
      </c>
      <c r="N139" s="82"/>
      <c r="O139" s="84"/>
      <c r="P139" s="82"/>
      <c r="Q139" s="85" t="s">
        <v>26</v>
      </c>
      <c r="R139" s="85" t="s">
        <v>14</v>
      </c>
      <c r="S139" s="86"/>
      <c r="T139" s="87"/>
      <c r="U139" s="87"/>
      <c r="V139" s="87"/>
      <c r="W139" s="87"/>
      <c r="X139" s="88"/>
      <c r="Y139" s="88"/>
    </row>
    <row r="140" spans="1:29" s="89" customFormat="1" x14ac:dyDescent="0.25">
      <c r="A140" s="13" t="s">
        <v>272</v>
      </c>
      <c r="B140" s="80" t="s">
        <v>40</v>
      </c>
      <c r="C140" s="81">
        <v>46294</v>
      </c>
      <c r="D140" s="81">
        <v>46294</v>
      </c>
      <c r="E140" s="81">
        <v>46294</v>
      </c>
      <c r="F140" s="81"/>
      <c r="G140" s="81"/>
      <c r="H140" s="81"/>
      <c r="I140" s="81"/>
      <c r="J140" s="81"/>
      <c r="K140" s="82"/>
      <c r="L140" s="82" t="s">
        <v>463</v>
      </c>
      <c r="M140" s="83" t="s">
        <v>464</v>
      </c>
      <c r="N140" s="82"/>
      <c r="O140" s="84"/>
      <c r="P140" s="82"/>
      <c r="Q140" s="85" t="s">
        <v>26</v>
      </c>
      <c r="R140" s="85" t="s">
        <v>14</v>
      </c>
      <c r="S140" s="86"/>
      <c r="T140" s="87"/>
      <c r="U140" s="87"/>
      <c r="V140" s="87"/>
      <c r="W140" s="87"/>
      <c r="X140" s="88"/>
      <c r="Y140" s="88"/>
    </row>
    <row r="141" spans="1:29" s="89" customFormat="1" x14ac:dyDescent="0.25">
      <c r="A141" s="13" t="s">
        <v>272</v>
      </c>
      <c r="B141" s="80" t="s">
        <v>40</v>
      </c>
      <c r="C141" s="81">
        <v>46294</v>
      </c>
      <c r="D141" s="81">
        <v>46294</v>
      </c>
      <c r="E141" s="81">
        <v>46294</v>
      </c>
      <c r="F141" s="81"/>
      <c r="G141" s="81"/>
      <c r="H141" s="81"/>
      <c r="I141" s="81"/>
      <c r="J141" s="81"/>
      <c r="K141" s="82"/>
      <c r="L141" s="82" t="s">
        <v>465</v>
      </c>
      <c r="M141" s="83" t="s">
        <v>45</v>
      </c>
      <c r="N141" s="82"/>
      <c r="O141" s="84"/>
      <c r="P141" s="82"/>
      <c r="Q141" s="85" t="s">
        <v>26</v>
      </c>
      <c r="R141" s="85" t="s">
        <v>14</v>
      </c>
      <c r="S141" s="86"/>
      <c r="T141" s="87"/>
      <c r="U141" s="87"/>
      <c r="V141" s="87"/>
      <c r="W141" s="87"/>
      <c r="X141" s="88"/>
      <c r="Y141" s="88"/>
    </row>
    <row r="142" spans="1:29" s="89" customFormat="1" x14ac:dyDescent="0.25">
      <c r="A142" s="13" t="s">
        <v>272</v>
      </c>
      <c r="B142" s="80" t="s">
        <v>40</v>
      </c>
      <c r="C142" s="81">
        <v>46294</v>
      </c>
      <c r="D142" s="81">
        <v>46294</v>
      </c>
      <c r="E142" s="81">
        <v>46294</v>
      </c>
      <c r="F142" s="81"/>
      <c r="G142" s="81"/>
      <c r="H142" s="81"/>
      <c r="I142" s="81"/>
      <c r="J142" s="81"/>
      <c r="K142" s="82"/>
      <c r="L142" s="82" t="s">
        <v>466</v>
      </c>
      <c r="M142" s="83" t="s">
        <v>467</v>
      </c>
      <c r="N142" s="82"/>
      <c r="O142" s="84"/>
      <c r="P142" s="82"/>
      <c r="Q142" s="85" t="s">
        <v>26</v>
      </c>
      <c r="R142" s="85" t="s">
        <v>14</v>
      </c>
      <c r="S142" s="86"/>
      <c r="T142" s="87"/>
      <c r="U142" s="87"/>
      <c r="V142" s="87"/>
      <c r="W142" s="87"/>
      <c r="X142" s="88"/>
      <c r="Y142" s="88"/>
    </row>
    <row r="143" spans="1:29" x14ac:dyDescent="0.25">
      <c r="A143" s="42" t="s">
        <v>273</v>
      </c>
      <c r="B143" s="42" t="s">
        <v>137</v>
      </c>
      <c r="C143" s="43">
        <v>46048</v>
      </c>
      <c r="D143" s="43">
        <v>46048</v>
      </c>
      <c r="E143" s="43">
        <v>46044</v>
      </c>
      <c r="F143" s="43">
        <v>46059</v>
      </c>
      <c r="G143" s="43"/>
      <c r="H143" s="43"/>
      <c r="I143" s="43">
        <v>46062</v>
      </c>
      <c r="J143" s="43">
        <v>46062</v>
      </c>
      <c r="K143" s="42" t="s">
        <v>23</v>
      </c>
      <c r="L143" s="44" t="s">
        <v>48</v>
      </c>
      <c r="M143" s="44" t="s">
        <v>51</v>
      </c>
      <c r="N143" s="42"/>
      <c r="O143" s="22" t="s">
        <v>49</v>
      </c>
      <c r="P143" s="42"/>
      <c r="Q143" s="45" t="s">
        <v>26</v>
      </c>
      <c r="R143" s="45" t="s">
        <v>14</v>
      </c>
      <c r="S143" s="29"/>
      <c r="T143" s="8"/>
      <c r="U143" s="5"/>
      <c r="V143" s="5"/>
      <c r="W143" s="6"/>
      <c r="X143" s="6"/>
      <c r="Y143" s="6"/>
      <c r="Z143">
        <f t="shared" si="4"/>
        <v>-4</v>
      </c>
      <c r="AA143">
        <f t="shared" si="5"/>
        <v>11</v>
      </c>
      <c r="AB143" t="str">
        <f t="shared" si="6"/>
        <v>achive</v>
      </c>
      <c r="AC143" t="str">
        <f t="shared" si="7"/>
        <v>tidak achive</v>
      </c>
    </row>
    <row r="144" spans="1:29" x14ac:dyDescent="0.25">
      <c r="A144" s="42" t="s">
        <v>273</v>
      </c>
      <c r="B144" s="42" t="s">
        <v>137</v>
      </c>
      <c r="C144" s="43">
        <v>46048</v>
      </c>
      <c r="D144" s="43">
        <v>46048</v>
      </c>
      <c r="E144" s="43">
        <v>46044</v>
      </c>
      <c r="F144" s="43">
        <v>46059</v>
      </c>
      <c r="G144" s="43"/>
      <c r="H144" s="43"/>
      <c r="I144" s="43">
        <v>46062</v>
      </c>
      <c r="J144" s="43">
        <v>46062</v>
      </c>
      <c r="K144" s="42" t="s">
        <v>23</v>
      </c>
      <c r="L144" s="44" t="s">
        <v>50</v>
      </c>
      <c r="M144" s="44" t="s">
        <v>27</v>
      </c>
      <c r="N144" s="42"/>
      <c r="O144" s="46" t="s">
        <v>55</v>
      </c>
      <c r="P144" s="42"/>
      <c r="Q144" s="45" t="s">
        <v>26</v>
      </c>
      <c r="R144" s="45" t="s">
        <v>14</v>
      </c>
      <c r="S144" s="26"/>
      <c r="T144" s="8"/>
      <c r="U144" s="5"/>
      <c r="V144" s="5"/>
      <c r="W144" s="6"/>
      <c r="X144" s="6"/>
      <c r="Y144" s="6"/>
      <c r="Z144">
        <f t="shared" si="4"/>
        <v>-4</v>
      </c>
      <c r="AA144">
        <f t="shared" si="5"/>
        <v>11</v>
      </c>
      <c r="AB144" t="str">
        <f t="shared" si="6"/>
        <v>achive</v>
      </c>
      <c r="AC144" t="str">
        <f t="shared" si="7"/>
        <v>tidak achive</v>
      </c>
    </row>
    <row r="145" spans="1:29" x14ac:dyDescent="0.25">
      <c r="A145" s="42" t="s">
        <v>273</v>
      </c>
      <c r="B145" s="42" t="s">
        <v>137</v>
      </c>
      <c r="C145" s="43">
        <v>46050</v>
      </c>
      <c r="D145" s="43">
        <v>46051</v>
      </c>
      <c r="E145" s="43">
        <v>46051</v>
      </c>
      <c r="F145" s="43">
        <v>46051</v>
      </c>
      <c r="G145" s="43"/>
      <c r="H145" s="43"/>
      <c r="I145" s="43">
        <v>46062</v>
      </c>
      <c r="J145" s="43">
        <v>46062</v>
      </c>
      <c r="K145" s="42" t="s">
        <v>23</v>
      </c>
      <c r="L145" s="42" t="s">
        <v>52</v>
      </c>
      <c r="M145" s="44" t="s">
        <v>53</v>
      </c>
      <c r="N145" s="42"/>
      <c r="O145" s="46" t="s">
        <v>54</v>
      </c>
      <c r="P145" s="42"/>
      <c r="Q145" s="45" t="s">
        <v>26</v>
      </c>
      <c r="R145" s="45" t="s">
        <v>14</v>
      </c>
      <c r="S145" s="26"/>
      <c r="T145" s="8"/>
      <c r="U145" s="5"/>
      <c r="V145" s="5"/>
      <c r="W145" s="6"/>
      <c r="X145" s="6"/>
      <c r="Y145" s="6"/>
      <c r="Z145">
        <f t="shared" si="4"/>
        <v>0</v>
      </c>
      <c r="AA145">
        <f t="shared" si="5"/>
        <v>0</v>
      </c>
      <c r="AB145" t="str">
        <f t="shared" si="6"/>
        <v>achive</v>
      </c>
      <c r="AC145" t="str">
        <f t="shared" si="7"/>
        <v>achive</v>
      </c>
    </row>
    <row r="146" spans="1:29" x14ac:dyDescent="0.25">
      <c r="A146" s="63" t="s">
        <v>273</v>
      </c>
      <c r="B146" s="63" t="s">
        <v>137</v>
      </c>
      <c r="C146" s="64">
        <v>46061</v>
      </c>
      <c r="D146" s="64">
        <v>46061</v>
      </c>
      <c r="E146" s="64">
        <v>46059</v>
      </c>
      <c r="F146" s="64"/>
      <c r="G146" s="64"/>
      <c r="H146" s="64"/>
      <c r="I146" s="64"/>
      <c r="J146" s="64"/>
      <c r="K146" s="63"/>
      <c r="L146" s="63" t="s">
        <v>99</v>
      </c>
      <c r="M146" s="65" t="s">
        <v>100</v>
      </c>
      <c r="N146" s="63"/>
      <c r="O146" s="63"/>
      <c r="P146" s="63"/>
      <c r="Q146" s="66" t="s">
        <v>26</v>
      </c>
      <c r="R146" s="66" t="s">
        <v>14</v>
      </c>
      <c r="S146" s="26"/>
      <c r="T146" s="8"/>
      <c r="U146" s="5"/>
      <c r="V146" s="5"/>
      <c r="W146" s="6"/>
      <c r="X146" s="6"/>
      <c r="Y146" s="6"/>
      <c r="Z146">
        <f t="shared" si="4"/>
        <v>-2</v>
      </c>
      <c r="AA146">
        <f t="shared" si="5"/>
        <v>-2</v>
      </c>
      <c r="AB146" t="str">
        <f t="shared" si="6"/>
        <v>achive</v>
      </c>
      <c r="AC146" t="str">
        <f t="shared" si="7"/>
        <v>achive</v>
      </c>
    </row>
    <row r="147" spans="1:29" x14ac:dyDescent="0.25">
      <c r="A147" s="42" t="s">
        <v>273</v>
      </c>
      <c r="B147" s="42" t="s">
        <v>137</v>
      </c>
      <c r="C147" s="43">
        <v>46077</v>
      </c>
      <c r="D147" s="43">
        <v>46077</v>
      </c>
      <c r="E147" s="43">
        <v>46076</v>
      </c>
      <c r="F147" s="43">
        <v>46078</v>
      </c>
      <c r="G147" s="43"/>
      <c r="H147" s="43"/>
      <c r="I147" s="43">
        <v>46078</v>
      </c>
      <c r="J147" s="43">
        <v>46078</v>
      </c>
      <c r="K147" s="42" t="s">
        <v>23</v>
      </c>
      <c r="L147" s="44" t="s">
        <v>91</v>
      </c>
      <c r="M147" s="44" t="s">
        <v>27</v>
      </c>
      <c r="N147" s="42"/>
      <c r="O147" s="42" t="s">
        <v>92</v>
      </c>
      <c r="P147" s="42"/>
      <c r="Q147" s="45" t="s">
        <v>26</v>
      </c>
      <c r="R147" s="45" t="s">
        <v>14</v>
      </c>
      <c r="S147" s="26"/>
      <c r="T147" s="8"/>
      <c r="U147" s="5"/>
      <c r="V147" s="5"/>
      <c r="W147" s="6"/>
      <c r="X147" s="6"/>
      <c r="Y147" s="6"/>
      <c r="Z147">
        <f t="shared" si="4"/>
        <v>-1</v>
      </c>
      <c r="AA147">
        <f t="shared" si="5"/>
        <v>1</v>
      </c>
      <c r="AB147" t="str">
        <f t="shared" si="6"/>
        <v>achive</v>
      </c>
      <c r="AC147" t="str">
        <f t="shared" si="7"/>
        <v>achive</v>
      </c>
    </row>
    <row r="148" spans="1:29" x14ac:dyDescent="0.25">
      <c r="A148" s="42" t="s">
        <v>273</v>
      </c>
      <c r="B148" s="42" t="s">
        <v>137</v>
      </c>
      <c r="C148" s="43">
        <v>46080</v>
      </c>
      <c r="D148" s="43">
        <v>46083</v>
      </c>
      <c r="E148" s="43">
        <v>46080</v>
      </c>
      <c r="F148" s="43">
        <v>46083</v>
      </c>
      <c r="G148" s="43"/>
      <c r="H148" s="43"/>
      <c r="I148" s="43">
        <v>46084</v>
      </c>
      <c r="J148" s="43">
        <v>46084</v>
      </c>
      <c r="K148" s="42" t="s">
        <v>23</v>
      </c>
      <c r="L148" s="44" t="s">
        <v>110</v>
      </c>
      <c r="M148" s="44" t="s">
        <v>111</v>
      </c>
      <c r="N148" s="42"/>
      <c r="O148" s="42" t="s">
        <v>109</v>
      </c>
      <c r="P148" s="42"/>
      <c r="Q148" s="45" t="s">
        <v>26</v>
      </c>
      <c r="R148" s="45" t="s">
        <v>14</v>
      </c>
      <c r="S148" s="26"/>
      <c r="T148" s="8"/>
      <c r="U148" s="5"/>
      <c r="V148" s="5"/>
      <c r="W148" s="6"/>
      <c r="X148" s="6"/>
      <c r="Y148" s="6"/>
      <c r="Z148">
        <f t="shared" si="4"/>
        <v>-3</v>
      </c>
      <c r="AA148">
        <f t="shared" si="5"/>
        <v>0</v>
      </c>
      <c r="AB148" t="str">
        <f t="shared" si="6"/>
        <v>achive</v>
      </c>
      <c r="AC148" t="str">
        <f t="shared" si="7"/>
        <v>achive</v>
      </c>
    </row>
    <row r="149" spans="1:29" x14ac:dyDescent="0.25">
      <c r="A149" s="42" t="s">
        <v>273</v>
      </c>
      <c r="B149" s="42" t="s">
        <v>137</v>
      </c>
      <c r="C149" s="43">
        <v>46087</v>
      </c>
      <c r="D149" s="43">
        <v>46087</v>
      </c>
      <c r="E149" s="43">
        <v>46086</v>
      </c>
      <c r="F149" s="43">
        <v>46087</v>
      </c>
      <c r="G149" s="43"/>
      <c r="H149" s="43"/>
      <c r="I149" s="43">
        <v>46087</v>
      </c>
      <c r="J149" s="43">
        <v>46087</v>
      </c>
      <c r="K149" s="48" t="s">
        <v>23</v>
      </c>
      <c r="L149" s="44" t="s">
        <v>120</v>
      </c>
      <c r="M149" s="44" t="s">
        <v>121</v>
      </c>
      <c r="N149" s="42"/>
      <c r="O149" s="42" t="s">
        <v>122</v>
      </c>
      <c r="P149" s="42"/>
      <c r="Q149" s="45" t="s">
        <v>26</v>
      </c>
      <c r="R149" s="45" t="s">
        <v>14</v>
      </c>
      <c r="S149" s="26"/>
      <c r="T149" s="8"/>
      <c r="U149" s="5"/>
      <c r="V149" s="5"/>
      <c r="W149" s="6"/>
      <c r="X149" s="6"/>
      <c r="Y149" s="6"/>
      <c r="Z149">
        <f t="shared" si="4"/>
        <v>-1</v>
      </c>
      <c r="AA149">
        <f t="shared" si="5"/>
        <v>0</v>
      </c>
      <c r="AB149" t="str">
        <f t="shared" si="6"/>
        <v>achive</v>
      </c>
      <c r="AC149" t="str">
        <f t="shared" si="7"/>
        <v>achive</v>
      </c>
    </row>
    <row r="150" spans="1:29" x14ac:dyDescent="0.25">
      <c r="A150" s="42" t="s">
        <v>273</v>
      </c>
      <c r="B150" s="42" t="s">
        <v>137</v>
      </c>
      <c r="C150" s="43">
        <v>46090</v>
      </c>
      <c r="D150" s="43">
        <v>46090</v>
      </c>
      <c r="E150" s="43">
        <v>46087</v>
      </c>
      <c r="F150" s="43">
        <v>46090</v>
      </c>
      <c r="G150" s="43"/>
      <c r="H150" s="43"/>
      <c r="I150" s="43">
        <v>46107</v>
      </c>
      <c r="J150" s="43">
        <v>46107</v>
      </c>
      <c r="K150" s="42" t="s">
        <v>23</v>
      </c>
      <c r="L150" s="44" t="s">
        <v>123</v>
      </c>
      <c r="M150" s="44" t="s">
        <v>27</v>
      </c>
      <c r="N150" s="42"/>
      <c r="O150" s="42" t="s">
        <v>108</v>
      </c>
      <c r="P150" s="42"/>
      <c r="Q150" s="45" t="s">
        <v>26</v>
      </c>
      <c r="R150" s="45" t="s">
        <v>14</v>
      </c>
      <c r="S150" s="26"/>
      <c r="T150" s="8"/>
      <c r="U150" s="5"/>
      <c r="V150" s="5"/>
      <c r="W150" s="6"/>
      <c r="X150" s="6"/>
      <c r="Y150" s="6"/>
      <c r="Z150">
        <f t="shared" si="4"/>
        <v>-3</v>
      </c>
      <c r="AA150">
        <f t="shared" si="5"/>
        <v>0</v>
      </c>
      <c r="AB150" t="str">
        <f t="shared" si="6"/>
        <v>achive</v>
      </c>
      <c r="AC150" t="str">
        <f t="shared" si="7"/>
        <v>achive</v>
      </c>
    </row>
    <row r="151" spans="1:29" x14ac:dyDescent="0.25">
      <c r="A151" s="42" t="s">
        <v>273</v>
      </c>
      <c r="B151" s="42" t="s">
        <v>137</v>
      </c>
      <c r="C151" s="43">
        <v>46090</v>
      </c>
      <c r="D151" s="43">
        <v>46090</v>
      </c>
      <c r="E151" s="43">
        <v>46087</v>
      </c>
      <c r="F151" s="43">
        <v>46090</v>
      </c>
      <c r="G151" s="43"/>
      <c r="H151" s="43"/>
      <c r="I151" s="43">
        <v>46118</v>
      </c>
      <c r="J151" s="43">
        <v>46118</v>
      </c>
      <c r="K151" s="42" t="s">
        <v>23</v>
      </c>
      <c r="L151" s="44" t="s">
        <v>124</v>
      </c>
      <c r="M151" s="44" t="s">
        <v>125</v>
      </c>
      <c r="N151" s="42"/>
      <c r="O151" s="42" t="s">
        <v>126</v>
      </c>
      <c r="P151" s="42"/>
      <c r="Q151" s="45" t="s">
        <v>26</v>
      </c>
      <c r="R151" s="45" t="s">
        <v>14</v>
      </c>
      <c r="S151" s="26"/>
      <c r="T151" s="8"/>
      <c r="U151" s="5"/>
      <c r="V151" s="5"/>
      <c r="W151" s="6"/>
      <c r="X151" s="6"/>
      <c r="Y151" s="6"/>
      <c r="Z151">
        <f t="shared" si="4"/>
        <v>-3</v>
      </c>
      <c r="AA151">
        <f t="shared" si="5"/>
        <v>0</v>
      </c>
      <c r="AB151" t="str">
        <f t="shared" si="6"/>
        <v>achive</v>
      </c>
      <c r="AC151" t="str">
        <f t="shared" si="7"/>
        <v>achive</v>
      </c>
    </row>
    <row r="152" spans="1:29" x14ac:dyDescent="0.25">
      <c r="A152" s="42" t="s">
        <v>273</v>
      </c>
      <c r="B152" s="42" t="s">
        <v>137</v>
      </c>
      <c r="C152" s="43">
        <v>46118</v>
      </c>
      <c r="D152" s="43">
        <v>46119</v>
      </c>
      <c r="E152" s="43">
        <v>46118</v>
      </c>
      <c r="F152" s="43">
        <v>46127</v>
      </c>
      <c r="G152" s="43"/>
      <c r="H152" s="43"/>
      <c r="I152" s="43">
        <v>46265</v>
      </c>
      <c r="J152" s="43">
        <v>46265</v>
      </c>
      <c r="K152" s="42" t="s">
        <v>23</v>
      </c>
      <c r="L152" s="44" t="s">
        <v>150</v>
      </c>
      <c r="M152" s="44" t="s">
        <v>151</v>
      </c>
      <c r="N152" s="42"/>
      <c r="O152" s="42"/>
      <c r="P152" s="42"/>
      <c r="Q152" s="45" t="s">
        <v>26</v>
      </c>
      <c r="R152" s="25" t="s">
        <v>22</v>
      </c>
      <c r="S152" s="25" t="s">
        <v>64</v>
      </c>
      <c r="T152" s="8"/>
      <c r="U152" s="5"/>
      <c r="V152" s="5"/>
      <c r="W152" s="6"/>
      <c r="X152" s="6"/>
      <c r="Y152" s="6"/>
      <c r="Z152">
        <f t="shared" si="4"/>
        <v>-1</v>
      </c>
      <c r="AA152">
        <f t="shared" si="5"/>
        <v>8</v>
      </c>
      <c r="AB152" t="str">
        <f t="shared" si="6"/>
        <v>achive</v>
      </c>
      <c r="AC152" t="str">
        <f t="shared" si="7"/>
        <v>achive</v>
      </c>
    </row>
    <row r="153" spans="1:29" x14ac:dyDescent="0.25">
      <c r="A153" s="42" t="s">
        <v>273</v>
      </c>
      <c r="B153" s="42" t="s">
        <v>137</v>
      </c>
      <c r="C153" s="43">
        <v>46118</v>
      </c>
      <c r="D153" s="43">
        <v>46119</v>
      </c>
      <c r="E153" s="43">
        <v>46118</v>
      </c>
      <c r="F153" s="43">
        <v>46120</v>
      </c>
      <c r="G153" s="43"/>
      <c r="H153" s="43"/>
      <c r="I153" s="43">
        <v>46121</v>
      </c>
      <c r="J153" s="43">
        <v>46121</v>
      </c>
      <c r="K153" s="42" t="s">
        <v>23</v>
      </c>
      <c r="L153" s="44" t="s">
        <v>152</v>
      </c>
      <c r="M153" s="44" t="s">
        <v>153</v>
      </c>
      <c r="N153" s="42"/>
      <c r="O153" s="42" t="s">
        <v>154</v>
      </c>
      <c r="P153" s="42"/>
      <c r="Q153" s="45" t="s">
        <v>26</v>
      </c>
      <c r="R153" s="45" t="s">
        <v>14</v>
      </c>
      <c r="S153" s="26"/>
      <c r="T153" s="8"/>
      <c r="U153" s="5"/>
      <c r="V153" s="5"/>
      <c r="W153" s="6"/>
      <c r="X153" s="6"/>
      <c r="Y153" s="6"/>
      <c r="Z153">
        <f t="shared" si="4"/>
        <v>-1</v>
      </c>
      <c r="AA153">
        <f t="shared" si="5"/>
        <v>1</v>
      </c>
      <c r="AB153" t="str">
        <f t="shared" si="6"/>
        <v>achive</v>
      </c>
      <c r="AC153" t="str">
        <f t="shared" si="7"/>
        <v>achive</v>
      </c>
    </row>
    <row r="154" spans="1:29" x14ac:dyDescent="0.25">
      <c r="A154" s="42" t="s">
        <v>273</v>
      </c>
      <c r="B154" s="42" t="s">
        <v>137</v>
      </c>
      <c r="C154" s="43">
        <v>46126</v>
      </c>
      <c r="D154" s="43">
        <v>46127</v>
      </c>
      <c r="E154" s="43">
        <v>46126</v>
      </c>
      <c r="F154" s="43">
        <v>46127</v>
      </c>
      <c r="G154" s="43"/>
      <c r="H154" s="43"/>
      <c r="I154" s="43">
        <v>46211</v>
      </c>
      <c r="J154" s="43">
        <v>46211</v>
      </c>
      <c r="K154" s="42" t="s">
        <v>23</v>
      </c>
      <c r="L154" s="42" t="s">
        <v>177</v>
      </c>
      <c r="M154" s="44" t="s">
        <v>178</v>
      </c>
      <c r="N154" s="42"/>
      <c r="O154" s="42" t="s">
        <v>179</v>
      </c>
      <c r="P154" s="42"/>
      <c r="Q154" s="45" t="s">
        <v>26</v>
      </c>
      <c r="R154" s="25" t="s">
        <v>22</v>
      </c>
      <c r="S154" s="25" t="s">
        <v>64</v>
      </c>
      <c r="T154" s="8"/>
      <c r="U154" s="5"/>
      <c r="V154" s="5"/>
      <c r="W154" s="6"/>
      <c r="X154" s="6"/>
      <c r="Y154" s="6"/>
      <c r="Z154">
        <f t="shared" si="4"/>
        <v>-1</v>
      </c>
      <c r="AA154">
        <f t="shared" si="5"/>
        <v>0</v>
      </c>
      <c r="AB154" t="str">
        <f t="shared" si="6"/>
        <v>achive</v>
      </c>
      <c r="AC154" t="str">
        <f t="shared" si="7"/>
        <v>achive</v>
      </c>
    </row>
    <row r="155" spans="1:29" x14ac:dyDescent="0.25">
      <c r="A155" s="42" t="s">
        <v>273</v>
      </c>
      <c r="B155" s="42" t="s">
        <v>137</v>
      </c>
      <c r="C155" s="43">
        <v>46129</v>
      </c>
      <c r="D155" s="43">
        <v>46129</v>
      </c>
      <c r="E155" s="43">
        <v>46128</v>
      </c>
      <c r="F155" s="43">
        <v>46130</v>
      </c>
      <c r="G155" s="43"/>
      <c r="H155" s="43"/>
      <c r="I155" s="43">
        <v>46133</v>
      </c>
      <c r="J155" s="43">
        <v>46133</v>
      </c>
      <c r="K155" s="42" t="s">
        <v>23</v>
      </c>
      <c r="L155" s="42" t="s">
        <v>180</v>
      </c>
      <c r="M155" s="44" t="s">
        <v>181</v>
      </c>
      <c r="N155" s="42"/>
      <c r="O155" s="42" t="s">
        <v>182</v>
      </c>
      <c r="P155" s="42"/>
      <c r="Q155" s="45" t="s">
        <v>26</v>
      </c>
      <c r="R155" s="45" t="s">
        <v>183</v>
      </c>
      <c r="S155" s="26"/>
      <c r="T155" s="8"/>
      <c r="U155" s="5"/>
      <c r="V155" s="5"/>
      <c r="W155" s="6"/>
      <c r="X155" s="6"/>
      <c r="Y155" s="6"/>
      <c r="Z155">
        <f t="shared" si="4"/>
        <v>-1</v>
      </c>
      <c r="AA155">
        <f t="shared" si="5"/>
        <v>1</v>
      </c>
      <c r="AB155" t="str">
        <f t="shared" si="6"/>
        <v>achive</v>
      </c>
      <c r="AC155" t="str">
        <f t="shared" si="7"/>
        <v>achive</v>
      </c>
    </row>
    <row r="156" spans="1:29" x14ac:dyDescent="0.25">
      <c r="A156" s="42" t="s">
        <v>273</v>
      </c>
      <c r="B156" s="42" t="s">
        <v>137</v>
      </c>
      <c r="C156" s="43">
        <v>46141</v>
      </c>
      <c r="D156" s="43">
        <v>46146</v>
      </c>
      <c r="E156" s="43">
        <v>46142</v>
      </c>
      <c r="F156" s="43">
        <v>46146</v>
      </c>
      <c r="G156" s="43"/>
      <c r="H156" s="43"/>
      <c r="I156" s="43">
        <v>46146</v>
      </c>
      <c r="J156" s="43">
        <v>46146</v>
      </c>
      <c r="K156" s="42" t="s">
        <v>23</v>
      </c>
      <c r="L156" s="42" t="s">
        <v>194</v>
      </c>
      <c r="M156" s="44" t="s">
        <v>53</v>
      </c>
      <c r="N156" s="42"/>
      <c r="O156" s="42" t="s">
        <v>195</v>
      </c>
      <c r="P156" s="42"/>
      <c r="Q156" s="45" t="s">
        <v>26</v>
      </c>
      <c r="R156" s="45" t="s">
        <v>183</v>
      </c>
      <c r="S156" s="26"/>
      <c r="T156" s="8"/>
      <c r="U156" s="5"/>
      <c r="V156" s="5"/>
      <c r="W156" s="6"/>
      <c r="X156" s="6"/>
      <c r="Y156" s="6"/>
      <c r="Z156">
        <f t="shared" si="4"/>
        <v>-4</v>
      </c>
      <c r="AA156">
        <f t="shared" si="5"/>
        <v>0</v>
      </c>
      <c r="AB156" t="str">
        <f t="shared" si="6"/>
        <v>achive</v>
      </c>
      <c r="AC156" t="str">
        <f t="shared" si="7"/>
        <v>achive</v>
      </c>
    </row>
    <row r="157" spans="1:29" x14ac:dyDescent="0.25">
      <c r="A157" s="42" t="s">
        <v>273</v>
      </c>
      <c r="B157" s="42" t="s">
        <v>137</v>
      </c>
      <c r="C157" s="43">
        <v>46141</v>
      </c>
      <c r="D157" s="43">
        <v>46146</v>
      </c>
      <c r="E157" s="43">
        <v>46142</v>
      </c>
      <c r="F157" s="43">
        <v>46146</v>
      </c>
      <c r="G157" s="43"/>
      <c r="H157" s="43"/>
      <c r="I157" s="43">
        <v>46146</v>
      </c>
      <c r="J157" s="43">
        <v>46146</v>
      </c>
      <c r="K157" s="42" t="s">
        <v>23</v>
      </c>
      <c r="L157" s="42" t="s">
        <v>196</v>
      </c>
      <c r="M157" s="44" t="s">
        <v>27</v>
      </c>
      <c r="N157" s="42"/>
      <c r="O157" s="42" t="s">
        <v>197</v>
      </c>
      <c r="P157" s="42"/>
      <c r="Q157" s="45" t="s">
        <v>26</v>
      </c>
      <c r="R157" s="45" t="s">
        <v>14</v>
      </c>
      <c r="S157" s="26"/>
      <c r="T157" s="8"/>
      <c r="U157" s="5"/>
      <c r="V157" s="5"/>
      <c r="W157" s="6"/>
      <c r="X157" s="6"/>
      <c r="Y157" s="6"/>
      <c r="Z157">
        <f t="shared" si="4"/>
        <v>-4</v>
      </c>
      <c r="AA157">
        <f t="shared" si="5"/>
        <v>0</v>
      </c>
      <c r="AB157" t="str">
        <f t="shared" si="6"/>
        <v>achive</v>
      </c>
      <c r="AC157" t="str">
        <f t="shared" si="7"/>
        <v>achive</v>
      </c>
    </row>
    <row r="158" spans="1:29" x14ac:dyDescent="0.25">
      <c r="A158" s="42" t="s">
        <v>273</v>
      </c>
      <c r="B158" s="42" t="s">
        <v>137</v>
      </c>
      <c r="C158" s="43">
        <v>46154</v>
      </c>
      <c r="D158" s="43">
        <v>46157</v>
      </c>
      <c r="E158" s="43">
        <v>46154</v>
      </c>
      <c r="F158" s="43">
        <v>46160</v>
      </c>
      <c r="G158" s="43"/>
      <c r="H158" s="43"/>
      <c r="I158" s="43">
        <v>46160</v>
      </c>
      <c r="J158" s="43">
        <v>46160</v>
      </c>
      <c r="K158" s="42" t="s">
        <v>23</v>
      </c>
      <c r="L158" s="42" t="s">
        <v>220</v>
      </c>
      <c r="M158" s="44" t="s">
        <v>221</v>
      </c>
      <c r="N158" s="42"/>
      <c r="O158" s="42" t="s">
        <v>222</v>
      </c>
      <c r="P158" s="42"/>
      <c r="Q158" s="45" t="s">
        <v>26</v>
      </c>
      <c r="R158" s="45" t="s">
        <v>14</v>
      </c>
      <c r="S158" s="26"/>
      <c r="T158" s="8"/>
      <c r="U158" s="5"/>
      <c r="V158" s="5"/>
      <c r="W158" s="6"/>
      <c r="X158" s="6"/>
      <c r="Y158" s="6"/>
      <c r="Z158">
        <f t="shared" si="4"/>
        <v>-3</v>
      </c>
      <c r="AA158">
        <f t="shared" si="5"/>
        <v>3</v>
      </c>
      <c r="AB158" t="str">
        <f t="shared" si="6"/>
        <v>achive</v>
      </c>
      <c r="AC158" t="str">
        <f t="shared" si="7"/>
        <v>achive</v>
      </c>
    </row>
    <row r="159" spans="1:29" x14ac:dyDescent="0.25">
      <c r="A159" s="42" t="s">
        <v>273</v>
      </c>
      <c r="B159" s="42" t="s">
        <v>137</v>
      </c>
      <c r="C159" s="43">
        <v>46171</v>
      </c>
      <c r="D159" s="43">
        <v>46177</v>
      </c>
      <c r="E159" s="43">
        <v>46171</v>
      </c>
      <c r="F159" s="43">
        <v>46177</v>
      </c>
      <c r="G159" s="43"/>
      <c r="H159" s="43"/>
      <c r="I159" s="43">
        <v>46178</v>
      </c>
      <c r="J159" s="43">
        <v>46178</v>
      </c>
      <c r="K159" s="42" t="s">
        <v>23</v>
      </c>
      <c r="L159" s="42" t="s">
        <v>226</v>
      </c>
      <c r="M159" s="44" t="s">
        <v>227</v>
      </c>
      <c r="N159" s="42"/>
      <c r="O159" s="42" t="s">
        <v>228</v>
      </c>
      <c r="P159" s="42"/>
      <c r="Q159" s="45" t="s">
        <v>26</v>
      </c>
      <c r="R159" s="45" t="s">
        <v>183</v>
      </c>
      <c r="S159" s="30"/>
      <c r="T159" s="8"/>
      <c r="U159" s="5"/>
      <c r="V159" s="5"/>
      <c r="W159" s="6"/>
      <c r="X159" s="6"/>
      <c r="Y159" s="6"/>
      <c r="Z159">
        <f t="shared" si="4"/>
        <v>-6</v>
      </c>
      <c r="AA159">
        <f t="shared" si="5"/>
        <v>0</v>
      </c>
      <c r="AB159" t="str">
        <f t="shared" si="6"/>
        <v>achive</v>
      </c>
      <c r="AC159" t="str">
        <f t="shared" si="7"/>
        <v>achive</v>
      </c>
    </row>
    <row r="160" spans="1:29" x14ac:dyDescent="0.25">
      <c r="A160" s="42" t="s">
        <v>273</v>
      </c>
      <c r="B160" s="42" t="s">
        <v>137</v>
      </c>
      <c r="C160" s="43">
        <v>46171</v>
      </c>
      <c r="D160" s="43">
        <v>46177</v>
      </c>
      <c r="E160" s="43">
        <v>46171</v>
      </c>
      <c r="F160" s="43">
        <v>46177</v>
      </c>
      <c r="G160" s="43"/>
      <c r="H160" s="43"/>
      <c r="I160" s="43">
        <v>46178</v>
      </c>
      <c r="J160" s="43">
        <v>46178</v>
      </c>
      <c r="K160" s="42" t="s">
        <v>23</v>
      </c>
      <c r="L160" s="42" t="s">
        <v>229</v>
      </c>
      <c r="M160" s="44" t="s">
        <v>230</v>
      </c>
      <c r="N160" s="42"/>
      <c r="O160" s="42" t="s">
        <v>231</v>
      </c>
      <c r="P160" s="42"/>
      <c r="Q160" s="45" t="s">
        <v>26</v>
      </c>
      <c r="R160" s="45" t="s">
        <v>183</v>
      </c>
      <c r="S160" s="26"/>
      <c r="T160" s="8"/>
      <c r="U160" s="5"/>
      <c r="V160" s="5"/>
      <c r="W160" s="6"/>
      <c r="X160" s="6"/>
      <c r="Y160" s="6"/>
      <c r="Z160">
        <f t="shared" si="4"/>
        <v>-6</v>
      </c>
      <c r="AA160">
        <f t="shared" si="5"/>
        <v>0</v>
      </c>
      <c r="AB160" t="str">
        <f t="shared" si="6"/>
        <v>achive</v>
      </c>
      <c r="AC160" t="str">
        <f t="shared" si="7"/>
        <v>achive</v>
      </c>
    </row>
    <row r="161" spans="1:29" x14ac:dyDescent="0.25">
      <c r="A161" s="42" t="s">
        <v>273</v>
      </c>
      <c r="B161" s="42" t="s">
        <v>137</v>
      </c>
      <c r="C161" s="43">
        <v>46177</v>
      </c>
      <c r="D161" s="43">
        <v>46177</v>
      </c>
      <c r="E161" s="43">
        <v>46176</v>
      </c>
      <c r="F161" s="43">
        <v>46177</v>
      </c>
      <c r="G161" s="43"/>
      <c r="H161" s="43"/>
      <c r="I161" s="43">
        <v>46177</v>
      </c>
      <c r="J161" s="43">
        <v>46177</v>
      </c>
      <c r="K161" s="42" t="s">
        <v>23</v>
      </c>
      <c r="L161" s="42" t="s">
        <v>236</v>
      </c>
      <c r="M161" s="44" t="s">
        <v>237</v>
      </c>
      <c r="N161" s="42"/>
      <c r="O161" s="42" t="s">
        <v>238</v>
      </c>
      <c r="P161" s="42"/>
      <c r="Q161" s="45" t="s">
        <v>26</v>
      </c>
      <c r="R161" s="45" t="s">
        <v>14</v>
      </c>
      <c r="S161" s="26"/>
      <c r="T161" s="8"/>
      <c r="U161" s="5"/>
      <c r="V161" s="5"/>
      <c r="W161" s="6"/>
      <c r="X161" s="6"/>
      <c r="Y161" s="6"/>
      <c r="Z161">
        <f t="shared" si="4"/>
        <v>-1</v>
      </c>
      <c r="AA161">
        <f t="shared" si="5"/>
        <v>0</v>
      </c>
      <c r="AB161" t="str">
        <f t="shared" si="6"/>
        <v>achive</v>
      </c>
      <c r="AC161" t="str">
        <f t="shared" si="7"/>
        <v>achive</v>
      </c>
    </row>
    <row r="162" spans="1:29" x14ac:dyDescent="0.25">
      <c r="A162" s="42" t="s">
        <v>273</v>
      </c>
      <c r="B162" s="42" t="s">
        <v>137</v>
      </c>
      <c r="C162" s="43">
        <v>46188</v>
      </c>
      <c r="D162" s="43">
        <v>46188</v>
      </c>
      <c r="E162" s="43">
        <v>46185</v>
      </c>
      <c r="F162" s="43">
        <v>46188</v>
      </c>
      <c r="G162" s="43"/>
      <c r="H162" s="43"/>
      <c r="I162" s="43">
        <v>46188</v>
      </c>
      <c r="J162" s="43">
        <v>46188</v>
      </c>
      <c r="K162" s="42" t="s">
        <v>23</v>
      </c>
      <c r="L162" s="42" t="s">
        <v>246</v>
      </c>
      <c r="M162" s="44" t="s">
        <v>227</v>
      </c>
      <c r="N162" s="42"/>
      <c r="O162" s="42" t="s">
        <v>247</v>
      </c>
      <c r="P162" s="42"/>
      <c r="Q162" s="45" t="s">
        <v>26</v>
      </c>
      <c r="R162" s="45" t="s">
        <v>14</v>
      </c>
      <c r="S162" s="26"/>
      <c r="T162" s="8"/>
      <c r="U162" s="5"/>
      <c r="V162" s="5"/>
      <c r="W162" s="6"/>
      <c r="X162" s="6"/>
      <c r="Y162" s="6"/>
      <c r="Z162">
        <f t="shared" si="4"/>
        <v>-3</v>
      </c>
      <c r="AA162">
        <f t="shared" si="5"/>
        <v>0</v>
      </c>
      <c r="AB162" t="str">
        <f t="shared" si="6"/>
        <v>achive</v>
      </c>
      <c r="AC162" t="str">
        <f t="shared" si="7"/>
        <v>achive</v>
      </c>
    </row>
    <row r="163" spans="1:29" x14ac:dyDescent="0.25">
      <c r="A163" s="42" t="s">
        <v>273</v>
      </c>
      <c r="B163" s="42" t="s">
        <v>137</v>
      </c>
      <c r="C163" s="43">
        <v>46190</v>
      </c>
      <c r="D163" s="43">
        <v>46190</v>
      </c>
      <c r="E163" s="43">
        <v>46188</v>
      </c>
      <c r="F163" s="43">
        <v>46191</v>
      </c>
      <c r="G163" s="43"/>
      <c r="H163" s="43"/>
      <c r="I163" s="43">
        <v>46197</v>
      </c>
      <c r="J163" s="43">
        <v>46197</v>
      </c>
      <c r="K163" s="42" t="s">
        <v>23</v>
      </c>
      <c r="L163" s="42" t="s">
        <v>253</v>
      </c>
      <c r="M163" s="44" t="s">
        <v>254</v>
      </c>
      <c r="N163" s="42"/>
      <c r="O163" s="42" t="s">
        <v>255</v>
      </c>
      <c r="P163" s="42"/>
      <c r="Q163" s="45" t="s">
        <v>26</v>
      </c>
      <c r="R163" s="45" t="s">
        <v>183</v>
      </c>
      <c r="S163" s="26"/>
      <c r="T163" s="8"/>
      <c r="U163" s="5"/>
      <c r="V163" s="5"/>
      <c r="W163" s="6"/>
      <c r="X163" s="6"/>
      <c r="Y163" s="6"/>
      <c r="Z163">
        <f t="shared" si="4"/>
        <v>-2</v>
      </c>
      <c r="AA163">
        <f t="shared" si="5"/>
        <v>1</v>
      </c>
      <c r="AB163" t="str">
        <f t="shared" si="6"/>
        <v>achive</v>
      </c>
      <c r="AC163" t="str">
        <f t="shared" si="7"/>
        <v>achive</v>
      </c>
    </row>
    <row r="164" spans="1:29" x14ac:dyDescent="0.25">
      <c r="A164" s="42" t="s">
        <v>273</v>
      </c>
      <c r="B164" s="42" t="s">
        <v>137</v>
      </c>
      <c r="C164" s="20">
        <v>46195</v>
      </c>
      <c r="D164" s="20">
        <v>46196</v>
      </c>
      <c r="E164" s="43">
        <v>46188</v>
      </c>
      <c r="F164" s="20">
        <v>46197</v>
      </c>
      <c r="G164" s="20"/>
      <c r="H164" s="20"/>
      <c r="I164" s="43">
        <v>46199</v>
      </c>
      <c r="J164" s="43">
        <v>46199</v>
      </c>
      <c r="K164" s="21" t="s">
        <v>23</v>
      </c>
      <c r="L164" s="21" t="s">
        <v>278</v>
      </c>
      <c r="M164" s="22" t="s">
        <v>279</v>
      </c>
      <c r="N164" s="21"/>
      <c r="O164" s="23" t="s">
        <v>280</v>
      </c>
      <c r="P164" s="21"/>
      <c r="Q164" s="45" t="s">
        <v>26</v>
      </c>
      <c r="R164" s="45" t="s">
        <v>14</v>
      </c>
      <c r="S164" s="8"/>
      <c r="T164" s="8"/>
      <c r="U164" s="5"/>
      <c r="V164" s="5"/>
      <c r="W164" s="6"/>
      <c r="X164" s="6"/>
      <c r="Y164" s="6"/>
      <c r="Z164">
        <f t="shared" si="4"/>
        <v>-8</v>
      </c>
      <c r="AA164">
        <f t="shared" si="5"/>
        <v>1</v>
      </c>
      <c r="AB164" t="str">
        <f t="shared" si="6"/>
        <v>achive</v>
      </c>
      <c r="AC164" t="str">
        <f t="shared" si="7"/>
        <v>achive</v>
      </c>
    </row>
    <row r="165" spans="1:29" x14ac:dyDescent="0.25">
      <c r="A165" s="42" t="s">
        <v>273</v>
      </c>
      <c r="B165" s="42" t="s">
        <v>137</v>
      </c>
      <c r="C165" s="20">
        <v>46198</v>
      </c>
      <c r="D165" s="20">
        <v>46198</v>
      </c>
      <c r="E165" s="20">
        <v>46196</v>
      </c>
      <c r="F165" s="20">
        <v>46204</v>
      </c>
      <c r="G165" s="20"/>
      <c r="H165" s="20"/>
      <c r="I165" s="20">
        <v>46204</v>
      </c>
      <c r="J165" s="20">
        <v>46204</v>
      </c>
      <c r="K165" s="21" t="s">
        <v>23</v>
      </c>
      <c r="L165" s="21" t="s">
        <v>285</v>
      </c>
      <c r="M165" s="22" t="s">
        <v>286</v>
      </c>
      <c r="N165" s="21"/>
      <c r="O165" s="23" t="s">
        <v>289</v>
      </c>
      <c r="P165" s="21"/>
      <c r="Q165" s="45" t="s">
        <v>26</v>
      </c>
      <c r="R165" s="45" t="s">
        <v>14</v>
      </c>
      <c r="S165" s="8"/>
      <c r="T165" s="8"/>
      <c r="U165" s="5"/>
      <c r="V165" s="5"/>
      <c r="W165" s="6"/>
      <c r="X165" s="6"/>
      <c r="Y165" s="6"/>
      <c r="AA165">
        <f t="shared" si="5"/>
        <v>6</v>
      </c>
      <c r="AC165" t="str">
        <f t="shared" si="7"/>
        <v>achive</v>
      </c>
    </row>
    <row r="166" spans="1:29" x14ac:dyDescent="0.25">
      <c r="A166" s="42" t="s">
        <v>273</v>
      </c>
      <c r="B166" s="42" t="s">
        <v>137</v>
      </c>
      <c r="C166" s="20">
        <v>46206</v>
      </c>
      <c r="D166" s="20">
        <v>46206</v>
      </c>
      <c r="E166" s="20">
        <v>46205</v>
      </c>
      <c r="F166" s="20">
        <v>46206</v>
      </c>
      <c r="G166" s="20"/>
      <c r="H166" s="20"/>
      <c r="I166" s="20">
        <v>46253</v>
      </c>
      <c r="J166" s="20">
        <v>46253</v>
      </c>
      <c r="K166" s="21" t="s">
        <v>23</v>
      </c>
      <c r="L166" s="21" t="s">
        <v>291</v>
      </c>
      <c r="M166" s="22" t="s">
        <v>292</v>
      </c>
      <c r="N166" s="21"/>
      <c r="O166" s="23" t="s">
        <v>293</v>
      </c>
      <c r="P166" s="21"/>
      <c r="Q166" s="45" t="s">
        <v>26</v>
      </c>
      <c r="R166" s="25" t="s">
        <v>22</v>
      </c>
      <c r="S166" s="25" t="s">
        <v>64</v>
      </c>
      <c r="T166" s="8"/>
      <c r="U166" s="5"/>
      <c r="V166" s="5"/>
      <c r="W166" s="6"/>
      <c r="X166" s="6"/>
      <c r="Y166" s="6"/>
    </row>
    <row r="167" spans="1:29" x14ac:dyDescent="0.25">
      <c r="A167" s="42" t="s">
        <v>273</v>
      </c>
      <c r="B167" s="42" t="s">
        <v>137</v>
      </c>
      <c r="C167" s="20">
        <v>46223</v>
      </c>
      <c r="D167" s="20">
        <v>46223</v>
      </c>
      <c r="E167" s="20">
        <v>46223</v>
      </c>
      <c r="F167" s="20">
        <v>46223</v>
      </c>
      <c r="G167" s="20"/>
      <c r="H167" s="20"/>
      <c r="I167" s="20">
        <v>46226</v>
      </c>
      <c r="J167" s="20">
        <v>46226</v>
      </c>
      <c r="K167" s="21" t="s">
        <v>23</v>
      </c>
      <c r="L167" s="21" t="s">
        <v>319</v>
      </c>
      <c r="M167" s="22" t="s">
        <v>227</v>
      </c>
      <c r="N167" s="21"/>
      <c r="O167" s="23" t="s">
        <v>320</v>
      </c>
      <c r="P167" s="21"/>
      <c r="Q167" s="45" t="s">
        <v>26</v>
      </c>
      <c r="R167" s="45" t="s">
        <v>14</v>
      </c>
      <c r="S167" s="8"/>
      <c r="T167" s="8"/>
      <c r="U167" s="5"/>
      <c r="V167" s="5"/>
      <c r="W167" s="6"/>
      <c r="X167" s="6"/>
      <c r="Y167" s="6"/>
    </row>
    <row r="168" spans="1:29" x14ac:dyDescent="0.25">
      <c r="A168" s="42" t="s">
        <v>273</v>
      </c>
      <c r="B168" s="42" t="s">
        <v>137</v>
      </c>
      <c r="C168" s="20">
        <v>46223</v>
      </c>
      <c r="D168" s="20">
        <v>46223</v>
      </c>
      <c r="E168" s="20">
        <v>46223</v>
      </c>
      <c r="F168" s="20">
        <v>46225</v>
      </c>
      <c r="G168" s="20"/>
      <c r="H168" s="20"/>
      <c r="I168" s="20">
        <v>46287</v>
      </c>
      <c r="J168" s="20">
        <v>46287</v>
      </c>
      <c r="K168" s="21" t="s">
        <v>23</v>
      </c>
      <c r="L168" s="21" t="s">
        <v>321</v>
      </c>
      <c r="M168" s="22" t="s">
        <v>322</v>
      </c>
      <c r="N168" s="21"/>
      <c r="O168" s="23" t="s">
        <v>323</v>
      </c>
      <c r="P168" s="21"/>
      <c r="Q168" s="45" t="s">
        <v>26</v>
      </c>
      <c r="R168" s="25" t="s">
        <v>63</v>
      </c>
      <c r="S168" s="25" t="s">
        <v>22</v>
      </c>
      <c r="T168" s="25" t="s">
        <v>64</v>
      </c>
      <c r="U168" s="25" t="s">
        <v>65</v>
      </c>
      <c r="V168" s="25" t="s">
        <v>66</v>
      </c>
      <c r="W168" s="25" t="s">
        <v>205</v>
      </c>
      <c r="X168" s="6"/>
      <c r="Y168" s="6"/>
    </row>
    <row r="169" spans="1:29" x14ac:dyDescent="0.25">
      <c r="A169" s="42" t="s">
        <v>273</v>
      </c>
      <c r="B169" s="42" t="s">
        <v>137</v>
      </c>
      <c r="C169" s="20">
        <v>46226</v>
      </c>
      <c r="D169" s="20">
        <v>46226</v>
      </c>
      <c r="E169" s="20">
        <v>46226</v>
      </c>
      <c r="F169" s="20">
        <v>46226</v>
      </c>
      <c r="G169" s="20"/>
      <c r="H169" s="20"/>
      <c r="I169" s="20">
        <v>46234</v>
      </c>
      <c r="J169" s="20">
        <v>46234</v>
      </c>
      <c r="K169" s="21" t="s">
        <v>23</v>
      </c>
      <c r="L169" s="21" t="s">
        <v>328</v>
      </c>
      <c r="M169" s="22" t="s">
        <v>329</v>
      </c>
      <c r="N169" s="21"/>
      <c r="O169" s="23" t="s">
        <v>330</v>
      </c>
      <c r="P169" s="21"/>
      <c r="Q169" s="45" t="s">
        <v>26</v>
      </c>
      <c r="R169" s="45" t="s">
        <v>183</v>
      </c>
      <c r="S169" s="8"/>
      <c r="T169" s="8"/>
      <c r="U169" s="5"/>
      <c r="V169" s="5"/>
      <c r="W169" s="6"/>
      <c r="X169" s="6"/>
      <c r="Y169" s="6"/>
    </row>
    <row r="170" spans="1:29" x14ac:dyDescent="0.25">
      <c r="A170" s="42" t="s">
        <v>273</v>
      </c>
      <c r="B170" s="42" t="s">
        <v>137</v>
      </c>
      <c r="C170" s="20">
        <v>46226</v>
      </c>
      <c r="D170" s="20">
        <v>46226</v>
      </c>
      <c r="E170" s="20">
        <v>46226</v>
      </c>
      <c r="F170" s="20">
        <v>46226</v>
      </c>
      <c r="G170" s="20"/>
      <c r="H170" s="20"/>
      <c r="I170" s="20">
        <v>46233</v>
      </c>
      <c r="J170" s="20">
        <v>46233</v>
      </c>
      <c r="K170" s="21" t="s">
        <v>23</v>
      </c>
      <c r="L170" s="21" t="s">
        <v>325</v>
      </c>
      <c r="M170" s="22" t="s">
        <v>326</v>
      </c>
      <c r="N170" s="21"/>
      <c r="O170" s="23" t="s">
        <v>327</v>
      </c>
      <c r="P170" s="21"/>
      <c r="Q170" s="45" t="s">
        <v>26</v>
      </c>
      <c r="R170" s="45" t="s">
        <v>14</v>
      </c>
      <c r="S170" s="8"/>
      <c r="T170" s="8"/>
      <c r="U170" s="5"/>
      <c r="V170" s="5"/>
      <c r="W170" s="6"/>
      <c r="X170" s="6"/>
      <c r="Y170" s="6"/>
    </row>
    <row r="171" spans="1:29" x14ac:dyDescent="0.25">
      <c r="A171" s="42" t="s">
        <v>273</v>
      </c>
      <c r="B171" s="42" t="s">
        <v>137</v>
      </c>
      <c r="C171" s="20">
        <v>46234</v>
      </c>
      <c r="D171" s="20">
        <v>46234</v>
      </c>
      <c r="E171" s="20">
        <v>46234</v>
      </c>
      <c r="F171" s="20">
        <v>46234</v>
      </c>
      <c r="G171" s="20"/>
      <c r="H171" s="20"/>
      <c r="I171" s="20">
        <v>46234</v>
      </c>
      <c r="J171" s="20">
        <v>46234</v>
      </c>
      <c r="K171" s="20" t="s">
        <v>23</v>
      </c>
      <c r="L171" s="21" t="s">
        <v>351</v>
      </c>
      <c r="M171" s="22" t="s">
        <v>352</v>
      </c>
      <c r="N171" s="21"/>
      <c r="O171" s="23" t="s">
        <v>353</v>
      </c>
      <c r="P171" s="21"/>
      <c r="Q171" s="45" t="s">
        <v>26</v>
      </c>
      <c r="R171" s="45" t="s">
        <v>14</v>
      </c>
      <c r="S171" s="8"/>
      <c r="T171" s="8"/>
      <c r="U171" s="5"/>
      <c r="V171" s="5"/>
      <c r="W171" s="6"/>
      <c r="X171" s="6"/>
      <c r="Y171" s="6"/>
    </row>
    <row r="172" spans="1:29" x14ac:dyDescent="0.25">
      <c r="A172" s="42" t="s">
        <v>273</v>
      </c>
      <c r="B172" s="42" t="s">
        <v>137</v>
      </c>
      <c r="C172" s="20">
        <v>46246</v>
      </c>
      <c r="D172" s="20">
        <v>46246</v>
      </c>
      <c r="E172" s="20">
        <v>46246</v>
      </c>
      <c r="F172" s="20">
        <v>46246</v>
      </c>
      <c r="G172" s="20"/>
      <c r="H172" s="20"/>
      <c r="I172" s="20">
        <v>46255</v>
      </c>
      <c r="J172" s="20">
        <v>46255</v>
      </c>
      <c r="K172" s="21" t="s">
        <v>23</v>
      </c>
      <c r="L172" s="21" t="s">
        <v>367</v>
      </c>
      <c r="M172" s="22" t="s">
        <v>368</v>
      </c>
      <c r="N172" s="21"/>
      <c r="O172" s="23" t="s">
        <v>369</v>
      </c>
      <c r="P172" s="21"/>
      <c r="Q172" s="45" t="s">
        <v>26</v>
      </c>
      <c r="R172" s="45" t="s">
        <v>183</v>
      </c>
      <c r="S172" s="8"/>
      <c r="T172" s="8"/>
      <c r="U172" s="5"/>
      <c r="V172" s="5"/>
      <c r="W172" s="6"/>
      <c r="X172" s="6"/>
      <c r="Y172" s="6"/>
    </row>
    <row r="173" spans="1:29" x14ac:dyDescent="0.25">
      <c r="A173" s="42" t="s">
        <v>273</v>
      </c>
      <c r="B173" s="42" t="s">
        <v>137</v>
      </c>
      <c r="C173" s="20">
        <v>46246</v>
      </c>
      <c r="D173" s="20">
        <v>46246</v>
      </c>
      <c r="E173" s="20">
        <v>46246</v>
      </c>
      <c r="F173" s="20">
        <v>46252</v>
      </c>
      <c r="G173" s="20"/>
      <c r="H173" s="20"/>
      <c r="I173" s="20">
        <v>46254</v>
      </c>
      <c r="J173" s="20">
        <v>46254</v>
      </c>
      <c r="K173" s="21" t="s">
        <v>23</v>
      </c>
      <c r="L173" s="21" t="s">
        <v>370</v>
      </c>
      <c r="M173" s="22" t="s">
        <v>371</v>
      </c>
      <c r="N173" s="21"/>
      <c r="O173" s="23" t="s">
        <v>372</v>
      </c>
      <c r="P173" s="21"/>
      <c r="Q173" s="45" t="s">
        <v>26</v>
      </c>
      <c r="R173" s="45" t="s">
        <v>14</v>
      </c>
      <c r="S173" s="8"/>
      <c r="T173" s="8"/>
      <c r="U173" s="5"/>
      <c r="V173" s="5"/>
      <c r="W173" s="6"/>
      <c r="X173" s="6"/>
      <c r="Y173" s="6"/>
    </row>
    <row r="174" spans="1:29" x14ac:dyDescent="0.25">
      <c r="A174" s="42" t="s">
        <v>273</v>
      </c>
      <c r="B174" s="42" t="s">
        <v>137</v>
      </c>
      <c r="C174" s="14">
        <v>46261</v>
      </c>
      <c r="D174" s="14">
        <v>46261</v>
      </c>
      <c r="E174" s="14">
        <v>46260</v>
      </c>
      <c r="F174" s="14"/>
      <c r="G174" s="14"/>
      <c r="H174" s="14"/>
      <c r="I174" s="14"/>
      <c r="J174" s="14"/>
      <c r="K174" s="15"/>
      <c r="L174" s="15" t="s">
        <v>385</v>
      </c>
      <c r="M174" s="16" t="s">
        <v>386</v>
      </c>
      <c r="N174" s="15"/>
      <c r="O174" s="17" t="s">
        <v>387</v>
      </c>
      <c r="P174" s="15"/>
      <c r="Q174" s="29" t="s">
        <v>26</v>
      </c>
      <c r="R174" s="18" t="s">
        <v>22</v>
      </c>
      <c r="S174" s="8" t="s">
        <v>64</v>
      </c>
      <c r="T174" s="8"/>
      <c r="U174" s="5"/>
      <c r="V174" s="5"/>
      <c r="W174" s="6"/>
      <c r="X174" s="6"/>
      <c r="Y174" s="6"/>
    </row>
    <row r="175" spans="1:29" x14ac:dyDescent="0.25">
      <c r="A175" s="42" t="s">
        <v>273</v>
      </c>
      <c r="B175" s="42" t="s">
        <v>137</v>
      </c>
      <c r="C175" s="20">
        <v>46262</v>
      </c>
      <c r="D175" s="20">
        <v>46262</v>
      </c>
      <c r="E175" s="20">
        <v>46263</v>
      </c>
      <c r="F175" s="20">
        <v>46267</v>
      </c>
      <c r="G175" s="20"/>
      <c r="H175" s="20"/>
      <c r="I175" s="20">
        <v>46267</v>
      </c>
      <c r="J175" s="20">
        <v>46267</v>
      </c>
      <c r="K175" s="21" t="s">
        <v>23</v>
      </c>
      <c r="L175" s="21" t="s">
        <v>399</v>
      </c>
      <c r="M175" s="22" t="s">
        <v>400</v>
      </c>
      <c r="N175" s="21"/>
      <c r="O175" s="23" t="s">
        <v>401</v>
      </c>
      <c r="P175" s="21"/>
      <c r="Q175" s="45" t="s">
        <v>26</v>
      </c>
      <c r="R175" s="45" t="s">
        <v>183</v>
      </c>
      <c r="S175" s="8"/>
      <c r="T175" s="8"/>
      <c r="U175" s="5"/>
      <c r="V175" s="5"/>
      <c r="W175" s="6"/>
      <c r="X175" s="6"/>
      <c r="Y175" s="6"/>
    </row>
    <row r="176" spans="1:29" x14ac:dyDescent="0.25">
      <c r="A176" s="42" t="s">
        <v>273</v>
      </c>
      <c r="B176" s="42" t="s">
        <v>137</v>
      </c>
      <c r="C176" s="20">
        <v>46262</v>
      </c>
      <c r="D176" s="20">
        <v>46262</v>
      </c>
      <c r="E176" s="20">
        <v>46263</v>
      </c>
      <c r="F176" s="20">
        <v>46267</v>
      </c>
      <c r="G176" s="20"/>
      <c r="H176" s="20"/>
      <c r="I176" s="20">
        <v>46267</v>
      </c>
      <c r="J176" s="20">
        <v>46267</v>
      </c>
      <c r="K176" s="21" t="s">
        <v>23</v>
      </c>
      <c r="L176" s="21" t="s">
        <v>402</v>
      </c>
      <c r="M176" s="22" t="s">
        <v>403</v>
      </c>
      <c r="N176" s="21"/>
      <c r="O176" s="23" t="s">
        <v>404</v>
      </c>
      <c r="P176" s="21"/>
      <c r="Q176" s="45" t="s">
        <v>26</v>
      </c>
      <c r="R176" s="45" t="s">
        <v>14</v>
      </c>
      <c r="S176" s="8"/>
      <c r="T176" s="8"/>
      <c r="U176" s="5"/>
      <c r="V176" s="5"/>
      <c r="W176" s="6"/>
      <c r="X176" s="6"/>
      <c r="Y176" s="6"/>
    </row>
    <row r="177" spans="1:25" x14ac:dyDescent="0.25">
      <c r="A177" s="42" t="s">
        <v>273</v>
      </c>
      <c r="B177" s="42" t="s">
        <v>137</v>
      </c>
      <c r="C177" s="20">
        <v>46273</v>
      </c>
      <c r="D177" s="20">
        <v>46273</v>
      </c>
      <c r="E177" s="20">
        <v>46273</v>
      </c>
      <c r="F177" s="20">
        <v>46273</v>
      </c>
      <c r="G177" s="20"/>
      <c r="H177" s="20"/>
      <c r="I177" s="20">
        <v>46274</v>
      </c>
      <c r="J177" s="20">
        <v>46274</v>
      </c>
      <c r="K177" s="21" t="s">
        <v>23</v>
      </c>
      <c r="L177" s="21" t="s">
        <v>413</v>
      </c>
      <c r="M177" s="22" t="s">
        <v>412</v>
      </c>
      <c r="N177" s="21"/>
      <c r="O177" s="23" t="s">
        <v>414</v>
      </c>
      <c r="P177" s="21"/>
      <c r="Q177" s="45" t="s">
        <v>26</v>
      </c>
      <c r="R177" s="45" t="s">
        <v>183</v>
      </c>
      <c r="S177" s="8"/>
      <c r="T177" s="8"/>
      <c r="U177" s="5"/>
      <c r="V177" s="5"/>
      <c r="W177" s="6"/>
      <c r="X177" s="6"/>
      <c r="Y177" s="6"/>
    </row>
    <row r="178" spans="1:25" x14ac:dyDescent="0.25">
      <c r="A178" s="42" t="s">
        <v>273</v>
      </c>
      <c r="B178" s="42" t="s">
        <v>137</v>
      </c>
      <c r="C178" s="14"/>
      <c r="D178" s="14"/>
      <c r="E178" s="14"/>
      <c r="F178" s="14"/>
      <c r="G178" s="14"/>
      <c r="H178" s="14"/>
      <c r="I178" s="14"/>
      <c r="J178" s="14"/>
      <c r="K178" s="15"/>
      <c r="L178" s="15"/>
      <c r="M178" s="16"/>
      <c r="N178" s="15"/>
      <c r="O178" s="17"/>
      <c r="P178" s="15"/>
      <c r="Q178" s="18"/>
      <c r="R178" s="18"/>
      <c r="S178" s="8"/>
      <c r="T178" s="8"/>
      <c r="U178" s="5"/>
      <c r="V178" s="5"/>
      <c r="W178" s="6"/>
      <c r="X178" s="6"/>
      <c r="Y178" s="6"/>
    </row>
    <row r="179" spans="1:25" x14ac:dyDescent="0.25">
      <c r="A179" s="42" t="s">
        <v>273</v>
      </c>
      <c r="B179" s="42" t="s">
        <v>137</v>
      </c>
      <c r="C179" s="14">
        <v>46279</v>
      </c>
      <c r="D179" s="14">
        <v>46279</v>
      </c>
      <c r="E179" s="14">
        <v>46279</v>
      </c>
      <c r="F179" s="14"/>
      <c r="G179" s="14"/>
      <c r="H179" s="14"/>
      <c r="I179" s="14"/>
      <c r="J179" s="14"/>
      <c r="K179" s="15"/>
      <c r="L179" s="15" t="s">
        <v>426</v>
      </c>
      <c r="M179" s="16" t="s">
        <v>427</v>
      </c>
      <c r="N179" s="15"/>
      <c r="O179" s="17" t="s">
        <v>425</v>
      </c>
      <c r="P179" s="15"/>
      <c r="Q179" s="29" t="s">
        <v>26</v>
      </c>
      <c r="R179" s="29" t="s">
        <v>14</v>
      </c>
      <c r="S179" s="8"/>
      <c r="T179" s="8"/>
      <c r="U179" s="5"/>
      <c r="V179" s="5"/>
      <c r="W179" s="6"/>
      <c r="X179" s="6"/>
      <c r="Y179" s="6"/>
    </row>
    <row r="180" spans="1:25" x14ac:dyDescent="0.25">
      <c r="A180" s="42" t="s">
        <v>273</v>
      </c>
      <c r="B180" s="42" t="s">
        <v>137</v>
      </c>
      <c r="C180" s="20">
        <v>46283</v>
      </c>
      <c r="D180" s="20">
        <v>46283</v>
      </c>
      <c r="E180" s="20">
        <v>46283</v>
      </c>
      <c r="F180" s="20">
        <v>46286</v>
      </c>
      <c r="G180" s="20"/>
      <c r="H180" s="20"/>
      <c r="I180" s="20"/>
      <c r="J180" s="20"/>
      <c r="K180" s="21"/>
      <c r="L180" s="21" t="s">
        <v>437</v>
      </c>
      <c r="M180" s="22" t="s">
        <v>436</v>
      </c>
      <c r="N180" s="21"/>
      <c r="O180" s="23" t="s">
        <v>438</v>
      </c>
      <c r="P180" s="21"/>
      <c r="Q180" s="45" t="s">
        <v>26</v>
      </c>
      <c r="R180" s="45" t="s">
        <v>183</v>
      </c>
      <c r="S180" s="8"/>
      <c r="T180" s="8"/>
      <c r="U180" s="5"/>
      <c r="V180" s="5"/>
      <c r="W180" s="6"/>
      <c r="X180" s="6"/>
      <c r="Y180" s="6"/>
    </row>
    <row r="181" spans="1:25" x14ac:dyDescent="0.25">
      <c r="A181" s="42" t="s">
        <v>273</v>
      </c>
      <c r="B181" s="42" t="s">
        <v>137</v>
      </c>
      <c r="C181" s="14">
        <v>46289</v>
      </c>
      <c r="D181" s="14">
        <v>46289</v>
      </c>
      <c r="E181" s="14">
        <v>46289</v>
      </c>
      <c r="F181" s="14"/>
      <c r="G181" s="14"/>
      <c r="H181" s="14"/>
      <c r="I181" s="14"/>
      <c r="J181" s="14"/>
      <c r="K181" s="15"/>
      <c r="L181" s="15" t="s">
        <v>442</v>
      </c>
      <c r="M181" s="16" t="s">
        <v>443</v>
      </c>
      <c r="N181" s="15"/>
      <c r="O181" s="17" t="s">
        <v>444</v>
      </c>
      <c r="P181" s="15"/>
      <c r="Q181" s="29" t="s">
        <v>26</v>
      </c>
      <c r="R181" s="29" t="s">
        <v>183</v>
      </c>
      <c r="S181" s="8"/>
      <c r="T181" s="8"/>
      <c r="U181" s="5"/>
      <c r="V181" s="5"/>
      <c r="W181" s="6"/>
      <c r="X181" s="6"/>
      <c r="Y181" s="6"/>
    </row>
    <row r="182" spans="1:25" x14ac:dyDescent="0.25">
      <c r="A182" s="42" t="s">
        <v>273</v>
      </c>
      <c r="B182" s="42" t="s">
        <v>137</v>
      </c>
      <c r="C182" s="14"/>
      <c r="D182" s="14"/>
      <c r="E182" s="14"/>
      <c r="F182" s="14"/>
      <c r="G182" s="14"/>
      <c r="H182" s="14"/>
      <c r="I182" s="14"/>
      <c r="J182" s="14"/>
      <c r="K182" s="15"/>
      <c r="L182" s="15" t="s">
        <v>445</v>
      </c>
      <c r="M182" s="16" t="s">
        <v>446</v>
      </c>
      <c r="N182" s="15"/>
      <c r="O182" s="17" t="s">
        <v>447</v>
      </c>
      <c r="P182" s="15"/>
      <c r="Q182" s="29" t="s">
        <v>26</v>
      </c>
      <c r="R182" s="29" t="s">
        <v>183</v>
      </c>
      <c r="S182" s="8"/>
      <c r="T182" s="8"/>
      <c r="U182" s="5"/>
      <c r="V182" s="5"/>
      <c r="W182" s="6"/>
      <c r="X182" s="6"/>
      <c r="Y182" s="6"/>
    </row>
    <row r="183" spans="1:25" x14ac:dyDescent="0.25">
      <c r="A183" s="42" t="s">
        <v>273</v>
      </c>
      <c r="B183" s="42" t="s">
        <v>137</v>
      </c>
      <c r="C183" s="14">
        <v>46294</v>
      </c>
      <c r="D183" s="14">
        <v>46294</v>
      </c>
      <c r="E183" s="14">
        <v>46294</v>
      </c>
      <c r="F183" s="14"/>
      <c r="G183" s="14"/>
      <c r="H183" s="14"/>
      <c r="I183" s="14"/>
      <c r="J183" s="14"/>
      <c r="K183" s="15"/>
      <c r="L183" s="15" t="s">
        <v>468</v>
      </c>
      <c r="M183" s="16" t="s">
        <v>400</v>
      </c>
      <c r="N183" s="15"/>
      <c r="O183" s="17" t="s">
        <v>472</v>
      </c>
      <c r="P183" s="15"/>
      <c r="Q183" s="29" t="s">
        <v>26</v>
      </c>
      <c r="R183" s="29" t="s">
        <v>14</v>
      </c>
      <c r="S183" s="8"/>
      <c r="T183" s="8"/>
      <c r="U183" s="5"/>
      <c r="V183" s="5"/>
      <c r="W183" s="6"/>
      <c r="X183" s="6"/>
      <c r="Y183" s="6"/>
    </row>
    <row r="184" spans="1:25" x14ac:dyDescent="0.25">
      <c r="A184" s="42" t="s">
        <v>273</v>
      </c>
      <c r="B184" s="42" t="s">
        <v>137</v>
      </c>
      <c r="C184" s="20">
        <v>46290</v>
      </c>
      <c r="D184" s="20">
        <v>46290</v>
      </c>
      <c r="E184" s="20">
        <v>46290</v>
      </c>
      <c r="F184" s="20">
        <v>46290</v>
      </c>
      <c r="G184" s="20"/>
      <c r="H184" s="20"/>
      <c r="I184" s="20">
        <v>46293</v>
      </c>
      <c r="J184" s="20">
        <v>46293</v>
      </c>
      <c r="K184" s="21" t="s">
        <v>23</v>
      </c>
      <c r="L184" s="21" t="s">
        <v>448</v>
      </c>
      <c r="M184" s="22" t="s">
        <v>449</v>
      </c>
      <c r="N184" s="21"/>
      <c r="O184" s="23" t="s">
        <v>450</v>
      </c>
      <c r="P184" s="21"/>
      <c r="Q184" s="45" t="s">
        <v>26</v>
      </c>
      <c r="R184" s="45" t="s">
        <v>183</v>
      </c>
      <c r="S184" s="8"/>
      <c r="T184" s="8"/>
      <c r="U184" s="5"/>
      <c r="V184" s="5"/>
      <c r="W184" s="6"/>
      <c r="X184" s="6"/>
      <c r="Y184" s="6"/>
    </row>
    <row r="185" spans="1:25" x14ac:dyDescent="0.25">
      <c r="A185" s="42" t="s">
        <v>273</v>
      </c>
      <c r="B185" s="42" t="s">
        <v>137</v>
      </c>
      <c r="C185" s="20">
        <v>46290</v>
      </c>
      <c r="D185" s="20">
        <v>46290</v>
      </c>
      <c r="E185" s="20">
        <v>46290</v>
      </c>
      <c r="F185" s="20">
        <v>46290</v>
      </c>
      <c r="G185" s="20"/>
      <c r="H185" s="20"/>
      <c r="I185" s="20">
        <v>46293</v>
      </c>
      <c r="J185" s="20">
        <v>46293</v>
      </c>
      <c r="K185" s="21" t="s">
        <v>23</v>
      </c>
      <c r="L185" s="21" t="s">
        <v>451</v>
      </c>
      <c r="M185" s="22" t="s">
        <v>329</v>
      </c>
      <c r="N185" s="21"/>
      <c r="O185" s="23" t="s">
        <v>255</v>
      </c>
      <c r="P185" s="21"/>
      <c r="Q185" s="45" t="s">
        <v>26</v>
      </c>
      <c r="R185" s="45" t="s">
        <v>183</v>
      </c>
      <c r="S185" s="8"/>
      <c r="T185" s="8"/>
      <c r="U185" s="5"/>
      <c r="V185" s="5"/>
      <c r="W185" s="6"/>
      <c r="X185" s="6"/>
      <c r="Y185" s="6"/>
    </row>
    <row r="186" spans="1:25" x14ac:dyDescent="0.25">
      <c r="A186" s="13"/>
      <c r="B186" s="13"/>
      <c r="C186" s="14">
        <v>46294</v>
      </c>
      <c r="D186" s="14">
        <v>46294</v>
      </c>
      <c r="E186" s="14">
        <v>46294</v>
      </c>
      <c r="F186" s="14"/>
      <c r="G186" s="14"/>
      <c r="H186" s="14"/>
      <c r="I186" s="14"/>
      <c r="J186" s="14"/>
      <c r="K186" s="15"/>
      <c r="L186" s="15" t="s">
        <v>470</v>
      </c>
      <c r="M186" s="16" t="s">
        <v>469</v>
      </c>
      <c r="N186" s="15"/>
      <c r="O186" s="17" t="s">
        <v>471</v>
      </c>
      <c r="P186" s="15"/>
      <c r="Q186" s="29" t="s">
        <v>26</v>
      </c>
      <c r="R186" s="29" t="s">
        <v>183</v>
      </c>
      <c r="S186" s="8"/>
      <c r="T186" s="8"/>
      <c r="U186" s="5"/>
      <c r="V186" s="5"/>
      <c r="W186" s="6"/>
      <c r="X186" s="6"/>
      <c r="Y186" s="6"/>
    </row>
    <row r="187" spans="1:25" x14ac:dyDescent="0.25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5"/>
      <c r="L187" s="15"/>
      <c r="M187" s="16"/>
      <c r="N187" s="15"/>
      <c r="O187" s="17"/>
      <c r="P187" s="15"/>
      <c r="Q187" s="18"/>
      <c r="R187" s="18"/>
      <c r="S187" s="8"/>
      <c r="T187" s="8"/>
      <c r="U187" s="5"/>
      <c r="V187" s="5"/>
      <c r="W187" s="6"/>
      <c r="X187" s="6"/>
      <c r="Y187" s="6"/>
    </row>
    <row r="188" spans="1:25" x14ac:dyDescent="0.25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5"/>
      <c r="L188" s="15"/>
      <c r="M188" s="16"/>
      <c r="N188" s="15"/>
      <c r="O188" s="17"/>
      <c r="P188" s="15"/>
      <c r="Q188" s="18"/>
      <c r="R188" s="18"/>
      <c r="S188" s="8"/>
      <c r="T188" s="8"/>
      <c r="U188" s="5"/>
      <c r="V188" s="5"/>
      <c r="W188" s="6"/>
      <c r="X188" s="6"/>
      <c r="Y188" s="6"/>
    </row>
    <row r="189" spans="1:25" x14ac:dyDescent="0.25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5"/>
      <c r="L189" s="15"/>
      <c r="M189" s="16"/>
      <c r="N189" s="15"/>
      <c r="O189" s="17"/>
      <c r="P189" s="15"/>
      <c r="Q189" s="18"/>
      <c r="R189" s="18"/>
      <c r="S189" s="8"/>
      <c r="T189" s="8"/>
      <c r="U189" s="5"/>
      <c r="V189" s="5"/>
      <c r="W189" s="6"/>
      <c r="X189" s="6"/>
      <c r="Y189" s="6"/>
    </row>
    <row r="190" spans="1:25" x14ac:dyDescent="0.25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5"/>
      <c r="L190" s="15"/>
      <c r="M190" s="16"/>
      <c r="N190" s="15"/>
      <c r="O190" s="17"/>
      <c r="P190" s="15"/>
      <c r="Q190" s="18"/>
      <c r="R190" s="18"/>
      <c r="S190" s="8"/>
      <c r="T190" s="8"/>
      <c r="U190" s="5"/>
      <c r="V190" s="5"/>
      <c r="W190" s="6"/>
      <c r="X190" s="6"/>
      <c r="Y190" s="6"/>
    </row>
    <row r="191" spans="1:25" x14ac:dyDescent="0.25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5"/>
      <c r="L191" s="15"/>
      <c r="M191" s="16"/>
      <c r="N191" s="15"/>
      <c r="O191" s="17"/>
      <c r="P191" s="15"/>
      <c r="Q191" s="18"/>
      <c r="R191" s="18"/>
      <c r="S191" s="8"/>
      <c r="T191" s="8"/>
      <c r="U191" s="5"/>
      <c r="V191" s="5"/>
      <c r="W191" s="6"/>
      <c r="X191" s="6"/>
      <c r="Y191" s="6"/>
    </row>
    <row r="192" spans="1:25" x14ac:dyDescent="0.25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5"/>
      <c r="L192" s="15"/>
      <c r="M192" s="16"/>
      <c r="N192" s="15"/>
      <c r="O192" s="17"/>
      <c r="P192" s="15"/>
      <c r="Q192" s="18"/>
      <c r="R192" s="18"/>
      <c r="S192" s="8"/>
      <c r="T192" s="8"/>
      <c r="U192" s="5"/>
      <c r="V192" s="5"/>
      <c r="W192" s="6"/>
      <c r="X192" s="6"/>
      <c r="Y192" s="6"/>
    </row>
    <row r="193" spans="1:25" x14ac:dyDescent="0.25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5"/>
      <c r="L193" s="15"/>
      <c r="M193" s="16"/>
      <c r="N193" s="15"/>
      <c r="O193" s="17"/>
      <c r="P193" s="15"/>
      <c r="Q193" s="18"/>
      <c r="R193" s="18"/>
      <c r="S193" s="8"/>
      <c r="T193" s="8"/>
      <c r="U193" s="5"/>
      <c r="V193" s="5"/>
      <c r="W193" s="6"/>
      <c r="X193" s="6"/>
      <c r="Y193" s="6"/>
    </row>
    <row r="194" spans="1:25" x14ac:dyDescent="0.25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5"/>
      <c r="L194" s="15"/>
      <c r="M194" s="16"/>
      <c r="N194" s="15"/>
      <c r="O194" s="17"/>
      <c r="P194" s="15"/>
      <c r="Q194" s="18"/>
      <c r="R194" s="18"/>
      <c r="S194" s="8"/>
      <c r="T194" s="8"/>
      <c r="U194" s="5"/>
      <c r="V194" s="5"/>
      <c r="W194" s="6"/>
      <c r="X194" s="6"/>
      <c r="Y194" s="6"/>
    </row>
    <row r="195" spans="1:25" x14ac:dyDescent="0.25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5"/>
      <c r="L195" s="15"/>
      <c r="M195" s="16"/>
      <c r="N195" s="15"/>
      <c r="O195" s="17"/>
      <c r="P195" s="15"/>
      <c r="Q195" s="18"/>
      <c r="R195" s="18"/>
      <c r="S195" s="8"/>
      <c r="T195" s="8"/>
      <c r="U195" s="5"/>
      <c r="V195" s="5"/>
      <c r="W195" s="6"/>
      <c r="X195" s="6"/>
      <c r="Y195" s="6"/>
    </row>
    <row r="196" spans="1:25" x14ac:dyDescent="0.25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5"/>
      <c r="L196" s="15"/>
      <c r="M196" s="16"/>
      <c r="N196" s="15"/>
      <c r="O196" s="17"/>
      <c r="P196" s="15"/>
      <c r="Q196" s="18"/>
      <c r="R196" s="18"/>
      <c r="S196" s="8"/>
      <c r="T196" s="8"/>
      <c r="U196" s="5"/>
      <c r="V196" s="5"/>
      <c r="W196" s="6"/>
      <c r="X196" s="6"/>
      <c r="Y196" s="6"/>
    </row>
    <row r="197" spans="1:25" x14ac:dyDescent="0.25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5"/>
      <c r="L197" s="15"/>
      <c r="M197" s="16"/>
      <c r="N197" s="15"/>
      <c r="O197" s="17"/>
      <c r="P197" s="15"/>
      <c r="Q197" s="18"/>
      <c r="R197" s="18"/>
      <c r="S197" s="8"/>
      <c r="T197" s="8"/>
      <c r="U197" s="5"/>
      <c r="V197" s="5"/>
      <c r="W197" s="6"/>
      <c r="X197" s="6"/>
      <c r="Y197" s="6"/>
    </row>
    <row r="198" spans="1:25" x14ac:dyDescent="0.25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5"/>
      <c r="L198" s="15"/>
      <c r="M198" s="16"/>
      <c r="N198" s="15"/>
      <c r="O198" s="17"/>
      <c r="P198" s="15"/>
      <c r="Q198" s="18"/>
      <c r="R198" s="18"/>
      <c r="S198" s="8"/>
      <c r="T198" s="8"/>
      <c r="U198" s="5"/>
      <c r="V198" s="5"/>
      <c r="W198" s="6"/>
      <c r="X198" s="6"/>
      <c r="Y198" s="6"/>
    </row>
    <row r="199" spans="1:25" x14ac:dyDescent="0.25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5"/>
      <c r="L199" s="15"/>
      <c r="M199" s="16"/>
      <c r="N199" s="15"/>
      <c r="O199" s="17"/>
      <c r="P199" s="15"/>
      <c r="Q199" s="18"/>
      <c r="R199" s="18"/>
      <c r="S199" s="8"/>
      <c r="T199" s="8"/>
      <c r="U199" s="5"/>
      <c r="V199" s="5"/>
      <c r="W199" s="6"/>
      <c r="X199" s="6"/>
      <c r="Y199" s="6"/>
    </row>
    <row r="200" spans="1:25" x14ac:dyDescent="0.25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5"/>
      <c r="L200" s="15"/>
      <c r="M200" s="16"/>
      <c r="N200" s="15"/>
      <c r="O200" s="17"/>
      <c r="P200" s="15"/>
      <c r="Q200" s="18"/>
      <c r="R200" s="18"/>
      <c r="S200" s="8"/>
      <c r="T200" s="8"/>
      <c r="U200" s="5"/>
      <c r="V200" s="5"/>
      <c r="W200" s="6"/>
      <c r="X200" s="6"/>
      <c r="Y200" s="6"/>
    </row>
    <row r="201" spans="1:25" x14ac:dyDescent="0.25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5"/>
      <c r="L201" s="15"/>
      <c r="M201" s="16"/>
      <c r="N201" s="15"/>
      <c r="O201" s="17"/>
      <c r="P201" s="15"/>
      <c r="Q201" s="18"/>
      <c r="R201" s="18"/>
      <c r="S201" s="8"/>
      <c r="T201" s="8"/>
      <c r="U201" s="5"/>
      <c r="V201" s="5"/>
      <c r="W201" s="6"/>
      <c r="X201" s="6"/>
      <c r="Y201" s="6"/>
    </row>
    <row r="202" spans="1:25" x14ac:dyDescent="0.25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5"/>
      <c r="L202" s="15"/>
      <c r="M202" s="16"/>
      <c r="N202" s="15"/>
      <c r="O202" s="17"/>
      <c r="P202" s="15"/>
      <c r="Q202" s="18"/>
      <c r="R202" s="18"/>
      <c r="S202" s="8"/>
      <c r="T202" s="8"/>
      <c r="U202" s="5"/>
      <c r="V202" s="5"/>
      <c r="W202" s="6"/>
      <c r="X202" s="6"/>
      <c r="Y202" s="6"/>
    </row>
    <row r="203" spans="1:25" x14ac:dyDescent="0.25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5"/>
      <c r="L203" s="15"/>
      <c r="M203" s="16"/>
      <c r="N203" s="15"/>
      <c r="O203" s="17"/>
      <c r="P203" s="15"/>
      <c r="Q203" s="18"/>
      <c r="R203" s="18"/>
      <c r="S203" s="8"/>
      <c r="T203" s="8"/>
      <c r="U203" s="5"/>
      <c r="V203" s="5"/>
      <c r="W203" s="6"/>
      <c r="X203" s="6"/>
      <c r="Y203" s="6"/>
    </row>
    <row r="204" spans="1:25" x14ac:dyDescent="0.25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5"/>
      <c r="L204" s="15"/>
      <c r="M204" s="16"/>
      <c r="N204" s="15"/>
      <c r="O204" s="17"/>
      <c r="P204" s="15"/>
      <c r="Q204" s="18"/>
      <c r="R204" s="18"/>
      <c r="S204" s="8"/>
      <c r="T204" s="8"/>
      <c r="U204" s="5"/>
      <c r="V204" s="5"/>
      <c r="W204" s="6"/>
      <c r="X204" s="6"/>
      <c r="Y204" s="6"/>
    </row>
    <row r="205" spans="1:25" x14ac:dyDescent="0.25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5"/>
      <c r="L205" s="15"/>
      <c r="M205" s="16"/>
      <c r="N205" s="15"/>
      <c r="O205" s="17"/>
      <c r="P205" s="15"/>
      <c r="Q205" s="18"/>
      <c r="R205" s="18"/>
      <c r="S205" s="8"/>
      <c r="T205" s="8"/>
      <c r="U205" s="5"/>
      <c r="V205" s="5"/>
      <c r="W205" s="6"/>
      <c r="X205" s="6"/>
      <c r="Y205" s="6"/>
    </row>
    <row r="206" spans="1:25" x14ac:dyDescent="0.25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5"/>
      <c r="L206" s="15"/>
      <c r="M206" s="16"/>
      <c r="N206" s="15"/>
      <c r="O206" s="17"/>
      <c r="P206" s="15"/>
      <c r="Q206" s="18"/>
      <c r="R206" s="18"/>
      <c r="S206" s="8"/>
      <c r="T206" s="8"/>
      <c r="U206" s="5"/>
      <c r="V206" s="5"/>
      <c r="W206" s="6"/>
      <c r="X206" s="6"/>
      <c r="Y206" s="6"/>
    </row>
    <row r="207" spans="1:25" x14ac:dyDescent="0.25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5"/>
      <c r="L207" s="15"/>
      <c r="M207" s="16"/>
      <c r="N207" s="15"/>
      <c r="O207" s="17"/>
      <c r="P207" s="15"/>
      <c r="Q207" s="18"/>
      <c r="R207" s="18"/>
      <c r="S207" s="8"/>
      <c r="T207" s="8"/>
      <c r="U207" s="5"/>
      <c r="V207" s="5"/>
      <c r="W207" s="6"/>
      <c r="X207" s="6"/>
      <c r="Y207" s="6"/>
    </row>
    <row r="208" spans="1:25" x14ac:dyDescent="0.25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5"/>
      <c r="L208" s="15"/>
      <c r="M208" s="16"/>
      <c r="N208" s="15"/>
      <c r="O208" s="17"/>
      <c r="P208" s="15"/>
      <c r="Q208" s="18"/>
      <c r="R208" s="18"/>
      <c r="S208" s="8"/>
      <c r="T208" s="8"/>
      <c r="U208" s="5"/>
      <c r="V208" s="5"/>
      <c r="W208" s="6"/>
      <c r="X208" s="6"/>
      <c r="Y208" s="6"/>
    </row>
    <row r="209" spans="1:25" x14ac:dyDescent="0.25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5"/>
      <c r="L209" s="15"/>
      <c r="M209" s="16"/>
      <c r="N209" s="15"/>
      <c r="O209" s="17"/>
      <c r="P209" s="15"/>
      <c r="Q209" s="18"/>
      <c r="R209" s="18"/>
      <c r="S209" s="8"/>
      <c r="T209" s="8"/>
      <c r="U209" s="5"/>
      <c r="V209" s="5"/>
      <c r="W209" s="6"/>
      <c r="X209" s="6"/>
      <c r="Y209" s="6"/>
    </row>
    <row r="210" spans="1:25" x14ac:dyDescent="0.25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5"/>
      <c r="L210" s="15"/>
      <c r="M210" s="16"/>
      <c r="N210" s="15"/>
      <c r="O210" s="17"/>
      <c r="P210" s="15"/>
      <c r="Q210" s="18"/>
      <c r="R210" s="18"/>
      <c r="S210" s="8"/>
      <c r="T210" s="8"/>
      <c r="U210" s="5"/>
      <c r="V210" s="5"/>
      <c r="W210" s="6"/>
      <c r="X210" s="6"/>
      <c r="Y210" s="6"/>
    </row>
    <row r="211" spans="1:25" x14ac:dyDescent="0.25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5"/>
      <c r="L211" s="15"/>
      <c r="M211" s="16"/>
      <c r="N211" s="15"/>
      <c r="O211" s="17"/>
      <c r="P211" s="15"/>
      <c r="Q211" s="18"/>
      <c r="R211" s="18"/>
      <c r="S211" s="8"/>
      <c r="T211" s="8"/>
      <c r="U211" s="5"/>
      <c r="V211" s="5"/>
      <c r="W211" s="6"/>
      <c r="X211" s="6"/>
      <c r="Y211" s="6"/>
    </row>
    <row r="212" spans="1:25" x14ac:dyDescent="0.25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5"/>
      <c r="L212" s="15"/>
      <c r="M212" s="16"/>
      <c r="N212" s="15"/>
      <c r="O212" s="17"/>
      <c r="P212" s="15"/>
      <c r="Q212" s="18"/>
      <c r="R212" s="18"/>
      <c r="S212" s="8"/>
      <c r="T212" s="8"/>
      <c r="U212" s="5"/>
      <c r="V212" s="5"/>
      <c r="W212" s="6"/>
      <c r="X212" s="6"/>
      <c r="Y212" s="6"/>
    </row>
    <row r="213" spans="1:25" x14ac:dyDescent="0.25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5"/>
      <c r="L213" s="15"/>
      <c r="M213" s="16"/>
      <c r="N213" s="15"/>
      <c r="O213" s="17"/>
      <c r="P213" s="15"/>
      <c r="Q213" s="18"/>
      <c r="R213" s="18"/>
      <c r="S213" s="8"/>
      <c r="T213" s="8"/>
      <c r="U213" s="5"/>
      <c r="V213" s="5"/>
      <c r="W213" s="6"/>
      <c r="X213" s="6"/>
      <c r="Y213" s="6"/>
    </row>
    <row r="214" spans="1:25" x14ac:dyDescent="0.25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5"/>
      <c r="L214" s="15"/>
      <c r="M214" s="16"/>
      <c r="N214" s="15"/>
      <c r="O214" s="17"/>
      <c r="P214" s="15"/>
      <c r="Q214" s="18"/>
      <c r="R214" s="18"/>
      <c r="S214" s="8"/>
      <c r="T214" s="8"/>
      <c r="U214" s="5"/>
      <c r="V214" s="5"/>
      <c r="W214" s="6"/>
      <c r="X214" s="6"/>
      <c r="Y214" s="6"/>
    </row>
    <row r="215" spans="1:25" x14ac:dyDescent="0.25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5"/>
      <c r="L215" s="15"/>
      <c r="M215" s="16"/>
      <c r="N215" s="15"/>
      <c r="O215" s="17"/>
      <c r="P215" s="15"/>
      <c r="Q215" s="18"/>
      <c r="R215" s="18"/>
      <c r="S215" s="8"/>
      <c r="T215" s="8"/>
      <c r="U215" s="5"/>
      <c r="V215" s="5"/>
      <c r="W215" s="6"/>
      <c r="X215" s="6"/>
      <c r="Y215" s="6"/>
    </row>
    <row r="216" spans="1:25" x14ac:dyDescent="0.25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5"/>
      <c r="L216" s="15"/>
      <c r="M216" s="16"/>
      <c r="N216" s="15"/>
      <c r="O216" s="17"/>
      <c r="P216" s="15"/>
      <c r="Q216" s="18"/>
      <c r="R216" s="18"/>
      <c r="S216" s="8"/>
      <c r="T216" s="8"/>
      <c r="U216" s="5"/>
      <c r="V216" s="5"/>
      <c r="W216" s="6"/>
      <c r="X216" s="6"/>
      <c r="Y216" s="6"/>
    </row>
    <row r="217" spans="1:25" x14ac:dyDescent="0.25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5"/>
      <c r="L217" s="15"/>
      <c r="M217" s="16"/>
      <c r="N217" s="15"/>
      <c r="O217" s="17"/>
      <c r="P217" s="15"/>
      <c r="Q217" s="18"/>
      <c r="R217" s="18"/>
      <c r="S217" s="8"/>
      <c r="T217" s="8"/>
      <c r="U217" s="5"/>
      <c r="V217" s="5"/>
      <c r="W217" s="6"/>
      <c r="X217" s="6"/>
      <c r="Y217" s="6"/>
    </row>
  </sheetData>
  <mergeCells count="1">
    <mergeCell ref="Q3:Y3"/>
  </mergeCells>
  <phoneticPr fontId="1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504A-1551-4C58-9AB7-5892B1DB786F}">
  <dimension ref="A1:V112"/>
  <sheetViews>
    <sheetView topLeftCell="C1" zoomScale="92" zoomScaleNormal="92" workbookViewId="0">
      <pane ySplit="1" topLeftCell="A6" activePane="bottomLeft" state="frozen"/>
      <selection pane="bottomLeft" activeCell="G16" sqref="G16"/>
    </sheetView>
  </sheetViews>
  <sheetFormatPr defaultRowHeight="15" x14ac:dyDescent="0.25"/>
  <cols>
    <col min="1" max="2" width="9.140625" style="10"/>
    <col min="3" max="3" width="11.28515625" style="10" customWidth="1"/>
    <col min="4" max="4" width="13.5703125" style="10" customWidth="1"/>
    <col min="5" max="8" width="12" style="10" customWidth="1"/>
    <col min="9" max="9" width="13.7109375" style="10" bestFit="1" customWidth="1"/>
    <col min="10" max="10" width="16" style="10" bestFit="1" customWidth="1"/>
    <col min="11" max="11" width="11.7109375" style="10" customWidth="1"/>
    <col min="12" max="12" width="23.42578125" style="10" customWidth="1"/>
    <col min="13" max="13" width="114.5703125" style="10" customWidth="1"/>
    <col min="14" max="14" width="4.5703125" style="10" bestFit="1" customWidth="1"/>
    <col min="15" max="15" width="16" style="10" bestFit="1" customWidth="1"/>
    <col min="16" max="16" width="12.28515625" style="10" bestFit="1" customWidth="1"/>
    <col min="17" max="22" width="5.7109375" style="10" customWidth="1"/>
    <col min="23" max="16384" width="9.140625" style="10"/>
  </cols>
  <sheetData>
    <row r="1" spans="1:22" ht="15.75" customHeight="1" x14ac:dyDescent="0.25">
      <c r="A1" s="58" t="s">
        <v>0</v>
      </c>
      <c r="B1" s="9"/>
      <c r="C1" s="9" t="s">
        <v>4</v>
      </c>
      <c r="D1" s="9" t="s">
        <v>19</v>
      </c>
      <c r="E1" s="9" t="s">
        <v>18</v>
      </c>
      <c r="F1" s="59" t="s">
        <v>248</v>
      </c>
      <c r="G1" s="59" t="s">
        <v>249</v>
      </c>
      <c r="H1" s="59" t="s">
        <v>250</v>
      </c>
      <c r="I1" s="9" t="s">
        <v>4</v>
      </c>
      <c r="J1" s="9" t="s">
        <v>4</v>
      </c>
      <c r="K1" s="58" t="s">
        <v>5</v>
      </c>
      <c r="L1" s="58" t="s">
        <v>6</v>
      </c>
      <c r="M1" s="58" t="s">
        <v>7</v>
      </c>
      <c r="N1" s="58" t="s">
        <v>8</v>
      </c>
      <c r="O1" s="58" t="s">
        <v>9</v>
      </c>
      <c r="P1" s="58" t="s">
        <v>10</v>
      </c>
      <c r="Q1" s="79" t="s">
        <v>11</v>
      </c>
      <c r="R1" s="79"/>
      <c r="S1" s="79"/>
      <c r="T1" s="79"/>
      <c r="U1" s="79"/>
      <c r="V1" s="79"/>
    </row>
    <row r="2" spans="1:22" ht="15.75" x14ac:dyDescent="0.25">
      <c r="A2" s="58"/>
      <c r="B2" s="9" t="s">
        <v>268</v>
      </c>
      <c r="C2" s="9" t="s">
        <v>20</v>
      </c>
      <c r="D2" s="9" t="s">
        <v>4</v>
      </c>
      <c r="E2" s="9" t="s">
        <v>21</v>
      </c>
      <c r="F2" s="60"/>
      <c r="G2" s="60"/>
      <c r="H2" s="60"/>
      <c r="I2" s="9" t="s">
        <v>12</v>
      </c>
      <c r="J2" s="9" t="s">
        <v>13</v>
      </c>
      <c r="K2" s="58"/>
      <c r="L2" s="58"/>
      <c r="M2" s="58"/>
      <c r="N2" s="58"/>
      <c r="O2" s="61"/>
      <c r="P2" s="58"/>
      <c r="Q2" s="7">
        <v>1</v>
      </c>
      <c r="R2" s="7">
        <v>2</v>
      </c>
      <c r="S2" s="7">
        <v>3</v>
      </c>
      <c r="T2" s="7">
        <v>4</v>
      </c>
      <c r="U2" s="7">
        <v>5</v>
      </c>
      <c r="V2" s="7">
        <v>6</v>
      </c>
    </row>
    <row r="3" spans="1:22" x14ac:dyDescent="0.25">
      <c r="A3" s="42">
        <v>1</v>
      </c>
      <c r="B3" s="42" t="s">
        <v>137</v>
      </c>
      <c r="C3" s="43">
        <v>46048</v>
      </c>
      <c r="D3" s="43">
        <v>46048</v>
      </c>
      <c r="E3" s="43">
        <v>46044</v>
      </c>
      <c r="F3" s="43">
        <v>46059</v>
      </c>
      <c r="G3" s="43"/>
      <c r="H3" s="43"/>
      <c r="I3" s="43">
        <v>46062</v>
      </c>
      <c r="J3" s="43">
        <v>46062</v>
      </c>
      <c r="K3" s="42" t="s">
        <v>23</v>
      </c>
      <c r="L3" s="44" t="s">
        <v>48</v>
      </c>
      <c r="M3" s="44" t="s">
        <v>51</v>
      </c>
      <c r="N3" s="42"/>
      <c r="O3" s="22" t="s">
        <v>49</v>
      </c>
      <c r="P3" s="42"/>
      <c r="Q3" s="45" t="s">
        <v>26</v>
      </c>
      <c r="R3" s="45" t="s">
        <v>14</v>
      </c>
      <c r="S3" s="29"/>
      <c r="T3" s="29"/>
      <c r="U3" s="29"/>
      <c r="V3" s="26"/>
    </row>
    <row r="4" spans="1:22" x14ac:dyDescent="0.25">
      <c r="A4" s="42">
        <v>2</v>
      </c>
      <c r="B4" s="42" t="s">
        <v>137</v>
      </c>
      <c r="C4" s="43">
        <v>46048</v>
      </c>
      <c r="D4" s="43">
        <v>46048</v>
      </c>
      <c r="E4" s="43">
        <v>46044</v>
      </c>
      <c r="F4" s="43">
        <v>46059</v>
      </c>
      <c r="G4" s="43"/>
      <c r="H4" s="43"/>
      <c r="I4" s="43">
        <v>46062</v>
      </c>
      <c r="J4" s="43">
        <v>46062</v>
      </c>
      <c r="K4" s="42" t="s">
        <v>23</v>
      </c>
      <c r="L4" s="44" t="s">
        <v>50</v>
      </c>
      <c r="M4" s="44" t="s">
        <v>27</v>
      </c>
      <c r="N4" s="42"/>
      <c r="O4" s="46" t="s">
        <v>55</v>
      </c>
      <c r="P4" s="42"/>
      <c r="Q4" s="45" t="s">
        <v>26</v>
      </c>
      <c r="R4" s="45" t="s">
        <v>14</v>
      </c>
      <c r="S4" s="26"/>
      <c r="T4" s="26"/>
      <c r="U4" s="26"/>
      <c r="V4" s="26"/>
    </row>
    <row r="5" spans="1:22" x14ac:dyDescent="0.25">
      <c r="A5" s="42">
        <v>3</v>
      </c>
      <c r="B5" s="42" t="s">
        <v>137</v>
      </c>
      <c r="C5" s="43">
        <v>46050</v>
      </c>
      <c r="D5" s="43">
        <v>46051</v>
      </c>
      <c r="E5" s="43">
        <v>46051</v>
      </c>
      <c r="F5" s="43">
        <v>46051</v>
      </c>
      <c r="G5" s="43"/>
      <c r="H5" s="43"/>
      <c r="I5" s="43">
        <v>46062</v>
      </c>
      <c r="J5" s="43">
        <v>46062</v>
      </c>
      <c r="K5" s="42" t="s">
        <v>23</v>
      </c>
      <c r="L5" s="42" t="s">
        <v>52</v>
      </c>
      <c r="M5" s="44" t="s">
        <v>53</v>
      </c>
      <c r="N5" s="42"/>
      <c r="O5" s="46" t="s">
        <v>54</v>
      </c>
      <c r="P5" s="42"/>
      <c r="Q5" s="45" t="s">
        <v>26</v>
      </c>
      <c r="R5" s="45" t="s">
        <v>14</v>
      </c>
      <c r="S5" s="26"/>
      <c r="T5" s="26"/>
      <c r="U5" s="26"/>
      <c r="V5" s="26"/>
    </row>
    <row r="6" spans="1:22" x14ac:dyDescent="0.25">
      <c r="A6" s="26">
        <v>4</v>
      </c>
      <c r="B6" s="42" t="s">
        <v>137</v>
      </c>
      <c r="C6" s="27">
        <v>46061</v>
      </c>
      <c r="D6" s="27">
        <v>46061</v>
      </c>
      <c r="E6" s="27">
        <v>46059</v>
      </c>
      <c r="F6" s="27"/>
      <c r="G6" s="27"/>
      <c r="H6" s="27"/>
      <c r="I6" s="27"/>
      <c r="J6" s="27"/>
      <c r="K6" s="26"/>
      <c r="L6" s="26" t="s">
        <v>99</v>
      </c>
      <c r="M6" s="28" t="s">
        <v>100</v>
      </c>
      <c r="N6" s="26"/>
      <c r="O6" s="26"/>
      <c r="P6" s="26"/>
      <c r="Q6" s="29" t="s">
        <v>26</v>
      </c>
      <c r="R6" s="29" t="s">
        <v>14</v>
      </c>
      <c r="S6" s="26"/>
      <c r="T6" s="26"/>
      <c r="U6" s="26"/>
      <c r="V6" s="26"/>
    </row>
    <row r="7" spans="1:22" x14ac:dyDescent="0.25">
      <c r="A7" s="42">
        <v>5</v>
      </c>
      <c r="B7" s="42" t="s">
        <v>137</v>
      </c>
      <c r="C7" s="43">
        <v>46077</v>
      </c>
      <c r="D7" s="43">
        <v>46077</v>
      </c>
      <c r="E7" s="43">
        <v>46076</v>
      </c>
      <c r="F7" s="43">
        <v>46078</v>
      </c>
      <c r="G7" s="43"/>
      <c r="H7" s="43"/>
      <c r="I7" s="43">
        <v>46078</v>
      </c>
      <c r="J7" s="43">
        <v>46078</v>
      </c>
      <c r="K7" s="42" t="s">
        <v>23</v>
      </c>
      <c r="L7" s="44" t="s">
        <v>91</v>
      </c>
      <c r="M7" s="44" t="s">
        <v>27</v>
      </c>
      <c r="N7" s="42"/>
      <c r="O7" s="42" t="s">
        <v>92</v>
      </c>
      <c r="P7" s="42"/>
      <c r="Q7" s="45" t="s">
        <v>26</v>
      </c>
      <c r="R7" s="45" t="s">
        <v>14</v>
      </c>
      <c r="S7" s="26"/>
      <c r="T7" s="26"/>
      <c r="U7" s="26"/>
      <c r="V7" s="26"/>
    </row>
    <row r="8" spans="1:22" x14ac:dyDescent="0.25">
      <c r="A8" s="42">
        <v>6</v>
      </c>
      <c r="B8" s="42" t="s">
        <v>137</v>
      </c>
      <c r="C8" s="43">
        <v>46080</v>
      </c>
      <c r="D8" s="43">
        <v>46083</v>
      </c>
      <c r="E8" s="43">
        <v>46080</v>
      </c>
      <c r="F8" s="43">
        <v>46083</v>
      </c>
      <c r="G8" s="43"/>
      <c r="H8" s="43"/>
      <c r="I8" s="43">
        <v>46084</v>
      </c>
      <c r="J8" s="43">
        <v>46084</v>
      </c>
      <c r="K8" s="42" t="s">
        <v>23</v>
      </c>
      <c r="L8" s="44" t="s">
        <v>110</v>
      </c>
      <c r="M8" s="44" t="s">
        <v>111</v>
      </c>
      <c r="N8" s="42"/>
      <c r="O8" s="42" t="s">
        <v>109</v>
      </c>
      <c r="P8" s="42"/>
      <c r="Q8" s="45" t="s">
        <v>26</v>
      </c>
      <c r="R8" s="45" t="s">
        <v>14</v>
      </c>
      <c r="S8" s="26"/>
      <c r="T8" s="26"/>
      <c r="U8" s="26"/>
      <c r="V8" s="26"/>
    </row>
    <row r="9" spans="1:22" x14ac:dyDescent="0.25">
      <c r="A9" s="42">
        <v>7</v>
      </c>
      <c r="B9" s="42" t="s">
        <v>137</v>
      </c>
      <c r="C9" s="43">
        <v>46087</v>
      </c>
      <c r="D9" s="43">
        <v>46087</v>
      </c>
      <c r="E9" s="43">
        <v>46086</v>
      </c>
      <c r="F9" s="43">
        <v>46087</v>
      </c>
      <c r="G9" s="43"/>
      <c r="H9" s="43"/>
      <c r="I9" s="43">
        <v>46087</v>
      </c>
      <c r="J9" s="43">
        <v>46087</v>
      </c>
      <c r="K9" s="48" t="s">
        <v>23</v>
      </c>
      <c r="L9" s="44" t="s">
        <v>120</v>
      </c>
      <c r="M9" s="44" t="s">
        <v>121</v>
      </c>
      <c r="N9" s="42"/>
      <c r="O9" s="42" t="s">
        <v>122</v>
      </c>
      <c r="P9" s="42"/>
      <c r="Q9" s="45" t="s">
        <v>26</v>
      </c>
      <c r="R9" s="45" t="s">
        <v>14</v>
      </c>
      <c r="S9" s="26"/>
      <c r="T9" s="26"/>
      <c r="U9" s="26"/>
      <c r="V9" s="26"/>
    </row>
    <row r="10" spans="1:22" x14ac:dyDescent="0.25">
      <c r="A10" s="42">
        <v>8</v>
      </c>
      <c r="B10" s="42" t="s">
        <v>137</v>
      </c>
      <c r="C10" s="43">
        <v>46090</v>
      </c>
      <c r="D10" s="43">
        <v>46090</v>
      </c>
      <c r="E10" s="43">
        <v>46087</v>
      </c>
      <c r="F10" s="43">
        <v>46090</v>
      </c>
      <c r="G10" s="43"/>
      <c r="H10" s="43"/>
      <c r="I10" s="43">
        <v>46107</v>
      </c>
      <c r="J10" s="43">
        <v>46107</v>
      </c>
      <c r="K10" s="42" t="s">
        <v>23</v>
      </c>
      <c r="L10" s="44" t="s">
        <v>123</v>
      </c>
      <c r="M10" s="44" t="s">
        <v>27</v>
      </c>
      <c r="N10" s="42"/>
      <c r="O10" s="42" t="s">
        <v>108</v>
      </c>
      <c r="P10" s="42"/>
      <c r="Q10" s="45" t="s">
        <v>26</v>
      </c>
      <c r="R10" s="45" t="s">
        <v>14</v>
      </c>
      <c r="S10" s="26"/>
      <c r="T10" s="26"/>
      <c r="U10" s="26"/>
      <c r="V10" s="26"/>
    </row>
    <row r="11" spans="1:22" x14ac:dyDescent="0.25">
      <c r="A11" s="42">
        <v>9</v>
      </c>
      <c r="B11" s="42" t="s">
        <v>137</v>
      </c>
      <c r="C11" s="43">
        <v>46090</v>
      </c>
      <c r="D11" s="43">
        <v>46090</v>
      </c>
      <c r="E11" s="43">
        <v>46087</v>
      </c>
      <c r="F11" s="43">
        <v>46090</v>
      </c>
      <c r="G11" s="43"/>
      <c r="H11" s="43"/>
      <c r="I11" s="43">
        <v>46118</v>
      </c>
      <c r="J11" s="43">
        <v>46118</v>
      </c>
      <c r="K11" s="42" t="s">
        <v>23</v>
      </c>
      <c r="L11" s="44" t="s">
        <v>124</v>
      </c>
      <c r="M11" s="44" t="s">
        <v>125</v>
      </c>
      <c r="N11" s="42"/>
      <c r="O11" s="42" t="s">
        <v>126</v>
      </c>
      <c r="P11" s="42"/>
      <c r="Q11" s="45" t="s">
        <v>26</v>
      </c>
      <c r="R11" s="45" t="s">
        <v>14</v>
      </c>
      <c r="S11" s="26"/>
      <c r="T11" s="26"/>
      <c r="U11" s="26"/>
      <c r="V11" s="26"/>
    </row>
    <row r="12" spans="1:22" x14ac:dyDescent="0.25">
      <c r="A12" s="26">
        <v>10</v>
      </c>
      <c r="B12" s="42" t="s">
        <v>137</v>
      </c>
      <c r="C12" s="27">
        <v>46118</v>
      </c>
      <c r="D12" s="27">
        <v>46119</v>
      </c>
      <c r="E12" s="27">
        <v>46118</v>
      </c>
      <c r="F12" s="27">
        <v>46127</v>
      </c>
      <c r="G12" s="27"/>
      <c r="H12" s="27"/>
      <c r="I12" s="27"/>
      <c r="J12" s="27"/>
      <c r="K12" s="26"/>
      <c r="L12" s="28" t="s">
        <v>150</v>
      </c>
      <c r="M12" s="28" t="s">
        <v>151</v>
      </c>
      <c r="N12" s="26"/>
      <c r="O12" s="26"/>
      <c r="P12" s="26"/>
      <c r="Q12" s="29" t="s">
        <v>26</v>
      </c>
      <c r="R12" s="8" t="s">
        <v>22</v>
      </c>
      <c r="S12" s="5" t="s">
        <v>64</v>
      </c>
      <c r="T12" s="26"/>
      <c r="U12" s="26"/>
      <c r="V12" s="26"/>
    </row>
    <row r="13" spans="1:22" x14ac:dyDescent="0.25">
      <c r="A13" s="42">
        <v>11</v>
      </c>
      <c r="B13" s="42" t="s">
        <v>137</v>
      </c>
      <c r="C13" s="43">
        <v>46118</v>
      </c>
      <c r="D13" s="43">
        <v>46119</v>
      </c>
      <c r="E13" s="43">
        <v>46118</v>
      </c>
      <c r="F13" s="43">
        <v>46120</v>
      </c>
      <c r="G13" s="43"/>
      <c r="H13" s="43"/>
      <c r="I13" s="43">
        <v>46121</v>
      </c>
      <c r="J13" s="43">
        <v>46121</v>
      </c>
      <c r="K13" s="42" t="s">
        <v>23</v>
      </c>
      <c r="L13" s="44" t="s">
        <v>152</v>
      </c>
      <c r="M13" s="44" t="s">
        <v>153</v>
      </c>
      <c r="N13" s="42"/>
      <c r="O13" s="42" t="s">
        <v>154</v>
      </c>
      <c r="P13" s="42"/>
      <c r="Q13" s="45" t="s">
        <v>26</v>
      </c>
      <c r="R13" s="45" t="s">
        <v>14</v>
      </c>
      <c r="S13" s="26"/>
      <c r="T13" s="26"/>
      <c r="U13" s="26"/>
      <c r="V13" s="26"/>
    </row>
    <row r="14" spans="1:22" x14ac:dyDescent="0.25">
      <c r="A14" s="26">
        <v>12</v>
      </c>
      <c r="B14" s="42" t="s">
        <v>137</v>
      </c>
      <c r="C14" s="27">
        <v>46126</v>
      </c>
      <c r="D14" s="27">
        <v>46127</v>
      </c>
      <c r="E14" s="27">
        <v>46126</v>
      </c>
      <c r="F14" s="27">
        <v>46127</v>
      </c>
      <c r="G14" s="27"/>
      <c r="H14" s="27"/>
      <c r="I14" s="27"/>
      <c r="J14" s="27"/>
      <c r="K14" s="26"/>
      <c r="L14" s="26" t="s">
        <v>177</v>
      </c>
      <c r="M14" s="28" t="s">
        <v>178</v>
      </c>
      <c r="N14" s="26"/>
      <c r="O14" s="26" t="s">
        <v>179</v>
      </c>
      <c r="P14" s="26"/>
      <c r="Q14" s="29" t="s">
        <v>26</v>
      </c>
      <c r="R14" s="8" t="s">
        <v>22</v>
      </c>
      <c r="S14" s="5" t="s">
        <v>64</v>
      </c>
      <c r="T14" s="26"/>
      <c r="U14" s="26"/>
      <c r="V14" s="26"/>
    </row>
    <row r="15" spans="1:22" x14ac:dyDescent="0.25">
      <c r="A15" s="42">
        <v>13</v>
      </c>
      <c r="B15" s="42" t="s">
        <v>137</v>
      </c>
      <c r="C15" s="43">
        <v>46129</v>
      </c>
      <c r="D15" s="43">
        <v>46129</v>
      </c>
      <c r="E15" s="43">
        <v>46128</v>
      </c>
      <c r="F15" s="43">
        <v>46130</v>
      </c>
      <c r="G15" s="43"/>
      <c r="H15" s="43"/>
      <c r="I15" s="43">
        <v>46133</v>
      </c>
      <c r="J15" s="43">
        <v>46133</v>
      </c>
      <c r="K15" s="42" t="s">
        <v>23</v>
      </c>
      <c r="L15" s="42" t="s">
        <v>180</v>
      </c>
      <c r="M15" s="44" t="s">
        <v>181</v>
      </c>
      <c r="N15" s="42"/>
      <c r="O15" s="42" t="s">
        <v>182</v>
      </c>
      <c r="P15" s="42"/>
      <c r="Q15" s="45" t="s">
        <v>26</v>
      </c>
      <c r="R15" s="45" t="s">
        <v>183</v>
      </c>
      <c r="S15" s="26"/>
      <c r="T15" s="26"/>
      <c r="U15" s="26"/>
      <c r="V15" s="26"/>
    </row>
    <row r="16" spans="1:22" x14ac:dyDescent="0.25">
      <c r="A16" s="42">
        <v>14</v>
      </c>
      <c r="B16" s="42" t="s">
        <v>137</v>
      </c>
      <c r="C16" s="43">
        <v>46141</v>
      </c>
      <c r="D16" s="43">
        <v>46146</v>
      </c>
      <c r="E16" s="43">
        <v>46142</v>
      </c>
      <c r="F16" s="43">
        <v>46146</v>
      </c>
      <c r="G16" s="43"/>
      <c r="H16" s="43"/>
      <c r="I16" s="43">
        <v>46146</v>
      </c>
      <c r="J16" s="43">
        <v>46146</v>
      </c>
      <c r="K16" s="42" t="s">
        <v>23</v>
      </c>
      <c r="L16" s="42" t="s">
        <v>194</v>
      </c>
      <c r="M16" s="44" t="s">
        <v>53</v>
      </c>
      <c r="N16" s="42"/>
      <c r="O16" s="42" t="s">
        <v>195</v>
      </c>
      <c r="P16" s="42"/>
      <c r="Q16" s="45" t="s">
        <v>26</v>
      </c>
      <c r="R16" s="45" t="s">
        <v>183</v>
      </c>
      <c r="S16" s="26"/>
      <c r="T16" s="26"/>
      <c r="U16" s="26"/>
      <c r="V16" s="26"/>
    </row>
    <row r="17" spans="1:22" x14ac:dyDescent="0.25">
      <c r="A17" s="42">
        <v>15</v>
      </c>
      <c r="B17" s="42" t="s">
        <v>137</v>
      </c>
      <c r="C17" s="43">
        <v>46141</v>
      </c>
      <c r="D17" s="43">
        <v>46146</v>
      </c>
      <c r="E17" s="43">
        <v>46142</v>
      </c>
      <c r="F17" s="43">
        <v>46146</v>
      </c>
      <c r="G17" s="43"/>
      <c r="H17" s="43"/>
      <c r="I17" s="43">
        <v>46146</v>
      </c>
      <c r="J17" s="43">
        <v>46146</v>
      </c>
      <c r="K17" s="42" t="s">
        <v>23</v>
      </c>
      <c r="L17" s="42" t="s">
        <v>196</v>
      </c>
      <c r="M17" s="44" t="s">
        <v>27</v>
      </c>
      <c r="N17" s="42"/>
      <c r="O17" s="42" t="s">
        <v>197</v>
      </c>
      <c r="P17" s="42"/>
      <c r="Q17" s="45" t="s">
        <v>26</v>
      </c>
      <c r="R17" s="45" t="s">
        <v>14</v>
      </c>
      <c r="S17" s="26"/>
      <c r="T17" s="26"/>
      <c r="U17" s="26"/>
      <c r="V17" s="26"/>
    </row>
    <row r="18" spans="1:22" x14ac:dyDescent="0.25">
      <c r="A18" s="42">
        <v>16</v>
      </c>
      <c r="B18" s="42" t="s">
        <v>137</v>
      </c>
      <c r="C18" s="43">
        <v>46154</v>
      </c>
      <c r="D18" s="43">
        <v>46157</v>
      </c>
      <c r="E18" s="43">
        <v>46154</v>
      </c>
      <c r="F18" s="43">
        <v>46160</v>
      </c>
      <c r="G18" s="43"/>
      <c r="H18" s="43"/>
      <c r="I18" s="43">
        <v>46160</v>
      </c>
      <c r="J18" s="43">
        <v>46160</v>
      </c>
      <c r="K18" s="42" t="s">
        <v>23</v>
      </c>
      <c r="L18" s="42" t="s">
        <v>220</v>
      </c>
      <c r="M18" s="44" t="s">
        <v>221</v>
      </c>
      <c r="N18" s="42"/>
      <c r="O18" s="42" t="s">
        <v>222</v>
      </c>
      <c r="P18" s="42"/>
      <c r="Q18" s="45" t="s">
        <v>26</v>
      </c>
      <c r="R18" s="45" t="s">
        <v>14</v>
      </c>
      <c r="S18" s="26"/>
      <c r="T18" s="26"/>
      <c r="U18" s="26"/>
      <c r="V18" s="26"/>
    </row>
    <row r="19" spans="1:22" x14ac:dyDescent="0.25">
      <c r="A19" s="42">
        <v>17</v>
      </c>
      <c r="B19" s="42" t="s">
        <v>137</v>
      </c>
      <c r="C19" s="43">
        <v>46171</v>
      </c>
      <c r="D19" s="43">
        <v>46177</v>
      </c>
      <c r="E19" s="43">
        <v>46171</v>
      </c>
      <c r="F19" s="43">
        <v>46177</v>
      </c>
      <c r="G19" s="43"/>
      <c r="H19" s="43"/>
      <c r="I19" s="43">
        <v>46178</v>
      </c>
      <c r="J19" s="43">
        <v>46178</v>
      </c>
      <c r="K19" s="42" t="s">
        <v>23</v>
      </c>
      <c r="L19" s="42" t="s">
        <v>226</v>
      </c>
      <c r="M19" s="44" t="s">
        <v>227</v>
      </c>
      <c r="N19" s="42"/>
      <c r="O19" s="42" t="s">
        <v>228</v>
      </c>
      <c r="P19" s="42"/>
      <c r="Q19" s="45" t="s">
        <v>26</v>
      </c>
      <c r="R19" s="45" t="s">
        <v>183</v>
      </c>
      <c r="S19" s="30"/>
      <c r="T19" s="12"/>
      <c r="U19" s="12"/>
      <c r="V19" s="26"/>
    </row>
    <row r="20" spans="1:22" x14ac:dyDescent="0.25">
      <c r="A20" s="42">
        <v>18</v>
      </c>
      <c r="B20" s="42" t="s">
        <v>137</v>
      </c>
      <c r="C20" s="43">
        <v>46171</v>
      </c>
      <c r="D20" s="43">
        <v>46177</v>
      </c>
      <c r="E20" s="43">
        <v>46171</v>
      </c>
      <c r="F20" s="43">
        <v>46177</v>
      </c>
      <c r="G20" s="43"/>
      <c r="H20" s="43"/>
      <c r="I20" s="43">
        <v>46178</v>
      </c>
      <c r="J20" s="43">
        <v>46178</v>
      </c>
      <c r="K20" s="42" t="s">
        <v>23</v>
      </c>
      <c r="L20" s="42" t="s">
        <v>229</v>
      </c>
      <c r="M20" s="44" t="s">
        <v>230</v>
      </c>
      <c r="N20" s="42"/>
      <c r="O20" s="42" t="s">
        <v>231</v>
      </c>
      <c r="P20" s="42"/>
      <c r="Q20" s="45" t="s">
        <v>26</v>
      </c>
      <c r="R20" s="45" t="s">
        <v>183</v>
      </c>
      <c r="S20" s="26"/>
      <c r="T20" s="26"/>
      <c r="U20" s="26"/>
      <c r="V20" s="26"/>
    </row>
    <row r="21" spans="1:22" x14ac:dyDescent="0.25">
      <c r="A21" s="42">
        <v>19</v>
      </c>
      <c r="B21" s="42" t="s">
        <v>137</v>
      </c>
      <c r="C21" s="43">
        <v>46177</v>
      </c>
      <c r="D21" s="43">
        <v>46177</v>
      </c>
      <c r="E21" s="43">
        <v>46176</v>
      </c>
      <c r="F21" s="43">
        <v>46177</v>
      </c>
      <c r="G21" s="43"/>
      <c r="H21" s="43"/>
      <c r="I21" s="43">
        <v>46177</v>
      </c>
      <c r="J21" s="43">
        <v>46177</v>
      </c>
      <c r="K21" s="42" t="s">
        <v>23</v>
      </c>
      <c r="L21" s="42" t="s">
        <v>236</v>
      </c>
      <c r="M21" s="44" t="s">
        <v>237</v>
      </c>
      <c r="N21" s="42"/>
      <c r="O21" s="42" t="s">
        <v>238</v>
      </c>
      <c r="P21" s="42"/>
      <c r="Q21" s="45" t="s">
        <v>26</v>
      </c>
      <c r="R21" s="45" t="s">
        <v>14</v>
      </c>
      <c r="S21" s="26"/>
      <c r="T21" s="26"/>
      <c r="U21" s="26"/>
      <c r="V21" s="26"/>
    </row>
    <row r="22" spans="1:22" x14ac:dyDescent="0.25">
      <c r="A22" s="42">
        <v>20</v>
      </c>
      <c r="B22" s="42" t="s">
        <v>137</v>
      </c>
      <c r="C22" s="43">
        <v>46188</v>
      </c>
      <c r="D22" s="43">
        <v>46188</v>
      </c>
      <c r="E22" s="43">
        <v>46185</v>
      </c>
      <c r="F22" s="43">
        <v>46188</v>
      </c>
      <c r="G22" s="43"/>
      <c r="H22" s="43"/>
      <c r="I22" s="43">
        <v>46188</v>
      </c>
      <c r="J22" s="43">
        <v>46188</v>
      </c>
      <c r="K22" s="42" t="s">
        <v>23</v>
      </c>
      <c r="L22" s="42" t="s">
        <v>246</v>
      </c>
      <c r="M22" s="44" t="s">
        <v>227</v>
      </c>
      <c r="N22" s="42"/>
      <c r="O22" s="42" t="s">
        <v>247</v>
      </c>
      <c r="P22" s="42"/>
      <c r="Q22" s="45" t="s">
        <v>26</v>
      </c>
      <c r="R22" s="45" t="s">
        <v>14</v>
      </c>
      <c r="S22" s="26"/>
      <c r="T22" s="26"/>
      <c r="U22" s="26"/>
      <c r="V22" s="26"/>
    </row>
    <row r="23" spans="1:22" x14ac:dyDescent="0.25">
      <c r="A23" s="26">
        <v>21</v>
      </c>
      <c r="B23" s="42" t="s">
        <v>137</v>
      </c>
      <c r="C23" s="27">
        <v>46190</v>
      </c>
      <c r="D23" s="27">
        <v>46190</v>
      </c>
      <c r="E23" s="27">
        <v>46188</v>
      </c>
      <c r="F23" s="27"/>
      <c r="G23" s="27"/>
      <c r="H23" s="27"/>
      <c r="I23" s="27"/>
      <c r="J23" s="27"/>
      <c r="K23" s="26"/>
      <c r="L23" s="26" t="s">
        <v>253</v>
      </c>
      <c r="M23" s="28" t="s">
        <v>254</v>
      </c>
      <c r="N23" s="26"/>
      <c r="O23" s="26" t="s">
        <v>255</v>
      </c>
      <c r="P23" s="26"/>
      <c r="Q23" s="29" t="s">
        <v>26</v>
      </c>
      <c r="R23" s="29" t="s">
        <v>183</v>
      </c>
      <c r="S23" s="26"/>
      <c r="T23" s="26"/>
      <c r="U23" s="26"/>
      <c r="V23" s="26"/>
    </row>
    <row r="24" spans="1:22" x14ac:dyDescent="0.25">
      <c r="A24" s="26"/>
      <c r="B24" s="26"/>
      <c r="C24" s="27"/>
      <c r="D24" s="27"/>
      <c r="E24" s="27"/>
      <c r="F24" s="27"/>
      <c r="G24" s="27"/>
      <c r="H24" s="27"/>
      <c r="I24" s="27"/>
      <c r="J24" s="27"/>
      <c r="K24" s="26"/>
      <c r="L24" s="26"/>
      <c r="M24" s="28"/>
      <c r="N24" s="26"/>
      <c r="O24" s="26"/>
      <c r="P24" s="26"/>
      <c r="Q24" s="12"/>
      <c r="R24" s="12"/>
      <c r="S24" s="26"/>
      <c r="T24" s="26"/>
      <c r="U24" s="26"/>
      <c r="V24" s="26"/>
    </row>
    <row r="25" spans="1:22" x14ac:dyDescent="0.25">
      <c r="A25" s="26"/>
      <c r="B25" s="26"/>
      <c r="C25" s="27"/>
      <c r="D25" s="27"/>
      <c r="E25" s="27"/>
      <c r="F25" s="27"/>
      <c r="G25" s="27"/>
      <c r="H25" s="27"/>
      <c r="I25" s="27"/>
      <c r="J25" s="27"/>
      <c r="K25" s="26"/>
      <c r="L25" s="26"/>
      <c r="M25" s="28"/>
      <c r="N25" s="26"/>
      <c r="O25" s="26"/>
      <c r="P25" s="26"/>
      <c r="Q25" s="12"/>
      <c r="R25" s="12"/>
      <c r="S25" s="26"/>
      <c r="T25" s="26"/>
      <c r="U25" s="26"/>
      <c r="V25" s="26"/>
    </row>
    <row r="26" spans="1:22" x14ac:dyDescent="0.25">
      <c r="A26" s="26"/>
      <c r="B26" s="26"/>
      <c r="C26" s="27"/>
      <c r="D26" s="27"/>
      <c r="E26" s="27"/>
      <c r="F26" s="27"/>
      <c r="G26" s="27"/>
      <c r="H26" s="27"/>
      <c r="I26" s="27"/>
      <c r="J26" s="27"/>
      <c r="K26" s="26"/>
      <c r="L26" s="26"/>
      <c r="M26" s="28"/>
      <c r="N26" s="26"/>
      <c r="O26" s="26"/>
      <c r="P26" s="26"/>
      <c r="Q26" s="12"/>
      <c r="R26" s="12"/>
      <c r="S26" s="26"/>
      <c r="T26" s="26"/>
      <c r="U26" s="26"/>
      <c r="V26" s="26"/>
    </row>
    <row r="27" spans="1:22" x14ac:dyDescent="0.25">
      <c r="A27" s="26"/>
      <c r="B27" s="26"/>
      <c r="C27" s="27"/>
      <c r="D27" s="27"/>
      <c r="E27" s="27"/>
      <c r="F27" s="27"/>
      <c r="G27" s="27"/>
      <c r="H27" s="27"/>
      <c r="I27" s="27"/>
      <c r="J27" s="27"/>
      <c r="K27" s="26"/>
      <c r="L27" s="26"/>
      <c r="M27" s="28"/>
      <c r="N27" s="26"/>
      <c r="O27" s="26"/>
      <c r="P27" s="26"/>
      <c r="Q27" s="12"/>
      <c r="R27" s="12"/>
      <c r="S27" s="26"/>
      <c r="T27" s="26"/>
      <c r="U27" s="26"/>
      <c r="V27" s="26"/>
    </row>
    <row r="28" spans="1:22" x14ac:dyDescent="0.25">
      <c r="A28" s="26"/>
      <c r="B28" s="26"/>
      <c r="C28" s="27"/>
      <c r="D28" s="27"/>
      <c r="E28" s="27"/>
      <c r="F28" s="27"/>
      <c r="G28" s="27"/>
      <c r="H28" s="27"/>
      <c r="I28" s="27"/>
      <c r="J28" s="27"/>
      <c r="K28" s="26"/>
      <c r="L28" s="26"/>
      <c r="M28" s="28"/>
      <c r="N28" s="26"/>
      <c r="O28" s="26"/>
      <c r="P28" s="26"/>
      <c r="Q28" s="12"/>
      <c r="R28" s="12"/>
      <c r="S28" s="26"/>
      <c r="T28" s="26"/>
      <c r="U28" s="26"/>
      <c r="V28" s="26"/>
    </row>
    <row r="29" spans="1:22" x14ac:dyDescent="0.25">
      <c r="A29" s="26"/>
      <c r="B29" s="26"/>
      <c r="C29" s="27"/>
      <c r="D29" s="27"/>
      <c r="E29" s="27"/>
      <c r="F29" s="27"/>
      <c r="G29" s="27"/>
      <c r="H29" s="27"/>
      <c r="I29" s="27"/>
      <c r="J29" s="27"/>
      <c r="K29" s="26"/>
      <c r="L29" s="26"/>
      <c r="M29" s="28"/>
      <c r="N29" s="26"/>
      <c r="O29" s="26"/>
      <c r="P29" s="26"/>
      <c r="Q29" s="12"/>
      <c r="R29" s="12"/>
      <c r="S29" s="26"/>
      <c r="T29" s="26"/>
      <c r="U29" s="26"/>
      <c r="V29" s="26"/>
    </row>
    <row r="30" spans="1:22" x14ac:dyDescent="0.25">
      <c r="A30" s="26"/>
      <c r="B30" s="26"/>
      <c r="C30" s="27"/>
      <c r="D30" s="27"/>
      <c r="E30" s="27"/>
      <c r="F30" s="27"/>
      <c r="G30" s="27"/>
      <c r="H30" s="27"/>
      <c r="I30" s="27"/>
      <c r="J30" s="27"/>
      <c r="K30" s="26"/>
      <c r="L30" s="26"/>
      <c r="M30" s="28"/>
      <c r="N30" s="26"/>
      <c r="O30" s="26"/>
      <c r="P30" s="26"/>
      <c r="Q30" s="29"/>
      <c r="R30" s="26"/>
      <c r="S30" s="26"/>
      <c r="T30" s="26"/>
      <c r="U30" s="26"/>
      <c r="V30" s="26"/>
    </row>
    <row r="31" spans="1:22" x14ac:dyDescent="0.25">
      <c r="A31" s="26"/>
      <c r="B31" s="26"/>
      <c r="C31" s="27"/>
      <c r="D31" s="27"/>
      <c r="E31" s="27"/>
      <c r="F31" s="27"/>
      <c r="G31" s="27"/>
      <c r="H31" s="27"/>
      <c r="I31" s="27"/>
      <c r="J31" s="27"/>
      <c r="K31" s="26"/>
      <c r="L31" s="26"/>
      <c r="M31" s="28"/>
      <c r="N31" s="26"/>
      <c r="O31" s="26"/>
      <c r="P31" s="26"/>
      <c r="Q31" s="29"/>
      <c r="R31" s="26"/>
      <c r="S31" s="26"/>
      <c r="T31" s="26"/>
      <c r="U31" s="26"/>
      <c r="V31" s="26"/>
    </row>
    <row r="32" spans="1:22" x14ac:dyDescent="0.25">
      <c r="A32" s="26"/>
      <c r="B32" s="26"/>
      <c r="C32" s="27"/>
      <c r="D32" s="27"/>
      <c r="E32" s="27"/>
      <c r="F32" s="27"/>
      <c r="G32" s="27"/>
      <c r="H32" s="27"/>
      <c r="I32" s="27"/>
      <c r="J32" s="27"/>
      <c r="K32" s="26"/>
      <c r="L32" s="26"/>
      <c r="M32" s="28"/>
      <c r="N32" s="26"/>
      <c r="O32" s="26"/>
      <c r="P32" s="26"/>
      <c r="Q32" s="12"/>
      <c r="R32" s="12"/>
      <c r="S32" s="26"/>
      <c r="T32" s="26"/>
      <c r="U32" s="26"/>
      <c r="V32" s="26"/>
    </row>
    <row r="33" spans="1:22" x14ac:dyDescent="0.25">
      <c r="A33" s="28"/>
      <c r="B33" s="28"/>
      <c r="C33" s="31"/>
      <c r="D33" s="31"/>
      <c r="E33" s="31"/>
      <c r="F33" s="31"/>
      <c r="G33" s="31"/>
      <c r="H33" s="31"/>
      <c r="I33" s="31"/>
      <c r="J33" s="31"/>
      <c r="K33" s="26"/>
      <c r="L33" s="28"/>
      <c r="M33" s="28"/>
      <c r="O33" s="26"/>
      <c r="Q33" s="12"/>
      <c r="R33" s="12"/>
      <c r="S33" s="26"/>
      <c r="T33" s="26"/>
      <c r="U33" s="26"/>
      <c r="V33" s="26"/>
    </row>
    <row r="34" spans="1:22" x14ac:dyDescent="0.25">
      <c r="A34" s="26"/>
      <c r="B34" s="26"/>
      <c r="C34" s="27"/>
      <c r="D34" s="27"/>
      <c r="E34" s="27"/>
      <c r="F34" s="27"/>
      <c r="G34" s="27"/>
      <c r="H34" s="27"/>
      <c r="I34" s="27"/>
      <c r="J34" s="27"/>
      <c r="K34" s="26"/>
      <c r="L34" s="26"/>
      <c r="M34" s="28"/>
      <c r="N34" s="26"/>
      <c r="O34" s="26"/>
      <c r="P34" s="26"/>
      <c r="Q34" s="12"/>
      <c r="R34" s="12"/>
      <c r="S34" s="26"/>
      <c r="T34" s="26"/>
      <c r="U34" s="26"/>
      <c r="V34" s="26"/>
    </row>
    <row r="35" spans="1:22" x14ac:dyDescent="0.25">
      <c r="A35" s="26"/>
      <c r="B35" s="26"/>
      <c r="C35" s="27"/>
      <c r="D35" s="27"/>
      <c r="E35" s="27"/>
      <c r="F35" s="27"/>
      <c r="G35" s="27"/>
      <c r="H35" s="27"/>
      <c r="I35" s="27"/>
      <c r="J35" s="27"/>
      <c r="K35" s="26"/>
      <c r="L35" s="26"/>
      <c r="M35" s="28"/>
      <c r="N35" s="26"/>
      <c r="O35" s="26"/>
      <c r="P35" s="26"/>
      <c r="Q35" s="12"/>
      <c r="R35" s="12"/>
      <c r="S35" s="26"/>
      <c r="T35" s="26"/>
      <c r="U35" s="26"/>
      <c r="V35" s="26"/>
    </row>
    <row r="36" spans="1:22" x14ac:dyDescent="0.25">
      <c r="A36" s="26"/>
      <c r="B36" s="26"/>
      <c r="C36" s="27"/>
      <c r="D36" s="27"/>
      <c r="E36" s="27"/>
      <c r="F36" s="27"/>
      <c r="G36" s="27"/>
      <c r="H36" s="27"/>
      <c r="I36" s="27"/>
      <c r="J36" s="27"/>
      <c r="K36" s="26"/>
      <c r="L36" s="26"/>
      <c r="M36" s="28"/>
      <c r="N36" s="26"/>
      <c r="O36" s="26"/>
      <c r="P36" s="26"/>
      <c r="Q36" s="12"/>
      <c r="R36" s="12"/>
      <c r="S36" s="26"/>
      <c r="T36" s="26"/>
      <c r="U36" s="26"/>
      <c r="V36" s="26"/>
    </row>
    <row r="37" spans="1:22" x14ac:dyDescent="0.25">
      <c r="A37" s="26"/>
      <c r="B37" s="26"/>
      <c r="C37" s="27"/>
      <c r="D37" s="27"/>
      <c r="E37" s="27"/>
      <c r="F37" s="27"/>
      <c r="G37" s="27"/>
      <c r="H37" s="27"/>
      <c r="I37" s="27"/>
      <c r="J37" s="27"/>
      <c r="K37" s="26"/>
      <c r="L37" s="26"/>
      <c r="M37" s="28"/>
      <c r="N37" s="26"/>
      <c r="O37" s="26"/>
      <c r="P37" s="26"/>
      <c r="Q37" s="12"/>
      <c r="R37" s="12"/>
      <c r="S37" s="26"/>
      <c r="T37" s="26"/>
      <c r="U37" s="26"/>
      <c r="V37" s="26"/>
    </row>
    <row r="38" spans="1:22" x14ac:dyDescent="0.25">
      <c r="A38" s="26"/>
      <c r="B38" s="26"/>
      <c r="C38" s="27"/>
      <c r="D38" s="27"/>
      <c r="E38" s="27"/>
      <c r="F38" s="27"/>
      <c r="G38" s="27"/>
      <c r="H38" s="27"/>
      <c r="I38" s="27"/>
      <c r="J38" s="27"/>
      <c r="K38" s="32"/>
      <c r="L38" s="26"/>
      <c r="M38" s="28"/>
      <c r="N38" s="26"/>
      <c r="O38" s="26"/>
      <c r="P38" s="26"/>
      <c r="Q38" s="12"/>
      <c r="R38" s="12"/>
      <c r="S38" s="26"/>
      <c r="T38" s="26"/>
      <c r="U38" s="26"/>
      <c r="V38" s="26"/>
    </row>
    <row r="39" spans="1:22" x14ac:dyDescent="0.25">
      <c r="A39" s="26"/>
      <c r="B39" s="26"/>
      <c r="C39" s="27"/>
      <c r="D39" s="27"/>
      <c r="E39" s="27"/>
      <c r="F39" s="27"/>
      <c r="G39" s="27"/>
      <c r="H39" s="27"/>
      <c r="I39" s="27"/>
      <c r="J39" s="27"/>
      <c r="K39" s="32"/>
      <c r="L39" s="26"/>
      <c r="M39" s="28"/>
      <c r="N39" s="26"/>
      <c r="O39" s="26"/>
      <c r="P39" s="26"/>
      <c r="Q39" s="12"/>
      <c r="R39" s="12"/>
      <c r="S39" s="26"/>
      <c r="T39" s="26"/>
      <c r="U39" s="26"/>
      <c r="V39" s="26"/>
    </row>
    <row r="40" spans="1:22" x14ac:dyDescent="0.25">
      <c r="A40" s="26"/>
      <c r="B40" s="26"/>
      <c r="C40" s="27"/>
      <c r="D40" s="27"/>
      <c r="E40" s="27"/>
      <c r="F40" s="27"/>
      <c r="G40" s="27"/>
      <c r="H40" s="27"/>
      <c r="I40" s="27"/>
      <c r="J40" s="27"/>
      <c r="K40" s="26"/>
      <c r="L40" s="26"/>
      <c r="M40" s="28"/>
      <c r="N40" s="26"/>
      <c r="O40" s="26"/>
      <c r="P40" s="26"/>
      <c r="Q40" s="12"/>
      <c r="R40" s="12"/>
      <c r="S40" s="30"/>
      <c r="T40" s="12"/>
      <c r="U40" s="26"/>
      <c r="V40" s="26"/>
    </row>
    <row r="41" spans="1:22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  <c r="K41" s="26"/>
      <c r="L41" s="26"/>
      <c r="M41" s="28"/>
      <c r="N41" s="26"/>
      <c r="O41" s="26"/>
      <c r="P41" s="26"/>
      <c r="Q41" s="12"/>
      <c r="R41" s="12"/>
      <c r="S41" s="30"/>
      <c r="T41" s="12"/>
      <c r="U41" s="26"/>
      <c r="V41" s="26"/>
    </row>
    <row r="42" spans="1:22" x14ac:dyDescent="0.25">
      <c r="A42" s="26"/>
      <c r="B42" s="26"/>
      <c r="C42" s="27"/>
      <c r="D42" s="27"/>
      <c r="E42" s="27"/>
      <c r="F42" s="27"/>
      <c r="G42" s="27"/>
      <c r="H42" s="27"/>
      <c r="I42" s="27"/>
      <c r="J42" s="27"/>
      <c r="K42" s="26"/>
      <c r="L42" s="26"/>
      <c r="M42" s="28"/>
      <c r="N42" s="26"/>
      <c r="O42" s="26"/>
      <c r="P42" s="26"/>
      <c r="Q42" s="29"/>
      <c r="R42" s="26"/>
      <c r="S42" s="26"/>
      <c r="T42" s="26"/>
      <c r="U42" s="26"/>
      <c r="V42" s="26"/>
    </row>
    <row r="43" spans="1:22" x14ac:dyDescent="0.25">
      <c r="A43" s="26"/>
      <c r="B43" s="26"/>
      <c r="C43" s="27"/>
      <c r="D43" s="27"/>
      <c r="E43" s="27"/>
      <c r="F43" s="27"/>
      <c r="G43" s="27"/>
      <c r="H43" s="27"/>
      <c r="I43" s="27"/>
      <c r="J43" s="27"/>
      <c r="K43" s="26"/>
      <c r="L43" s="26"/>
      <c r="M43" s="28"/>
      <c r="O43" s="26"/>
      <c r="Q43" s="29"/>
      <c r="R43" s="26"/>
      <c r="S43" s="26"/>
      <c r="T43" s="26"/>
      <c r="U43" s="26"/>
      <c r="V43" s="26"/>
    </row>
    <row r="44" spans="1:22" x14ac:dyDescent="0.25">
      <c r="A44" s="26"/>
      <c r="B44" s="26"/>
      <c r="C44" s="27"/>
      <c r="D44" s="27"/>
      <c r="E44" s="27"/>
      <c r="F44" s="27"/>
      <c r="G44" s="27"/>
      <c r="H44" s="27"/>
      <c r="I44" s="27"/>
      <c r="J44" s="27"/>
      <c r="K44" s="26"/>
      <c r="L44" s="26"/>
      <c r="M44" s="28"/>
      <c r="N44" s="26"/>
      <c r="O44" s="26"/>
      <c r="P44" s="26"/>
      <c r="Q44" s="12"/>
      <c r="R44" s="30"/>
      <c r="S44" s="12"/>
      <c r="T44" s="26"/>
      <c r="U44" s="26"/>
    </row>
    <row r="45" spans="1:22" x14ac:dyDescent="0.25">
      <c r="A45" s="26"/>
      <c r="B45" s="26"/>
      <c r="C45" s="27"/>
      <c r="D45" s="27"/>
      <c r="E45" s="27"/>
      <c r="F45" s="27"/>
      <c r="G45" s="27"/>
      <c r="H45" s="27"/>
      <c r="I45" s="27"/>
      <c r="J45" s="27"/>
      <c r="K45" s="26"/>
      <c r="L45" s="26"/>
      <c r="M45" s="28"/>
      <c r="N45" s="26"/>
      <c r="O45" s="26"/>
      <c r="P45" s="26"/>
      <c r="Q45" s="12"/>
      <c r="R45" s="12"/>
      <c r="S45" s="26"/>
      <c r="T45" s="26"/>
      <c r="U45" s="26"/>
      <c r="V45" s="26"/>
    </row>
    <row r="46" spans="1:22" x14ac:dyDescent="0.25">
      <c r="A46" s="26"/>
      <c r="B46" s="26"/>
      <c r="C46" s="32"/>
      <c r="D46" s="32"/>
      <c r="E46" s="32"/>
      <c r="F46" s="32"/>
      <c r="G46" s="32"/>
      <c r="H46" s="32"/>
      <c r="I46" s="32"/>
      <c r="J46" s="32"/>
      <c r="K46" s="26"/>
      <c r="L46" s="26"/>
      <c r="M46" s="26"/>
      <c r="N46" s="26"/>
      <c r="O46" s="26"/>
      <c r="P46" s="26"/>
      <c r="Q46" s="12"/>
      <c r="R46" s="12"/>
      <c r="S46" s="26"/>
      <c r="T46" s="26"/>
      <c r="U46" s="26"/>
      <c r="V46" s="26"/>
    </row>
    <row r="47" spans="1:22" x14ac:dyDescent="0.25">
      <c r="A47" s="26"/>
      <c r="B47" s="26"/>
      <c r="C47" s="27"/>
      <c r="D47" s="27"/>
      <c r="E47" s="27"/>
      <c r="F47" s="27"/>
      <c r="G47" s="27"/>
      <c r="H47" s="27"/>
      <c r="I47" s="27"/>
      <c r="J47" s="27"/>
      <c r="K47" s="26"/>
      <c r="L47" s="26"/>
      <c r="M47" s="33"/>
      <c r="N47" s="26"/>
      <c r="O47" s="26"/>
      <c r="P47" s="26"/>
      <c r="Q47" s="12"/>
      <c r="R47" s="12"/>
      <c r="S47" s="26"/>
      <c r="T47" s="26"/>
      <c r="U47" s="26"/>
      <c r="V47" s="26"/>
    </row>
    <row r="48" spans="1:22" x14ac:dyDescent="0.25">
      <c r="A48" s="26"/>
      <c r="B48" s="26"/>
      <c r="C48" s="27"/>
      <c r="D48" s="27"/>
      <c r="E48" s="27"/>
      <c r="F48" s="27"/>
      <c r="G48" s="27"/>
      <c r="H48" s="27"/>
      <c r="I48" s="27"/>
      <c r="J48" s="27"/>
      <c r="K48" s="26"/>
      <c r="L48" s="26"/>
      <c r="M48" s="28"/>
      <c r="N48" s="26"/>
      <c r="O48" s="26"/>
      <c r="P48" s="26"/>
      <c r="Q48" s="12"/>
      <c r="R48" s="12"/>
      <c r="S48" s="26"/>
      <c r="T48" s="26"/>
      <c r="U48" s="26"/>
      <c r="V48" s="26"/>
    </row>
    <row r="49" spans="1:22" x14ac:dyDescent="0.25">
      <c r="A49" s="26"/>
      <c r="B49" s="26"/>
      <c r="C49" s="27"/>
      <c r="D49" s="27"/>
      <c r="E49" s="27"/>
      <c r="F49" s="27"/>
      <c r="G49" s="27"/>
      <c r="H49" s="27"/>
      <c r="I49" s="27"/>
      <c r="J49" s="27"/>
      <c r="K49" s="26"/>
      <c r="L49" s="26"/>
      <c r="M49" s="28"/>
      <c r="N49" s="26"/>
      <c r="O49" s="26"/>
      <c r="P49" s="26"/>
      <c r="Q49" s="12"/>
      <c r="R49" s="30"/>
      <c r="S49" s="12"/>
      <c r="T49" s="26"/>
      <c r="U49" s="26"/>
      <c r="V49" s="26"/>
    </row>
    <row r="50" spans="1:22" x14ac:dyDescent="0.25">
      <c r="A50" s="26"/>
      <c r="B50" s="26"/>
      <c r="C50" s="27"/>
      <c r="D50" s="27"/>
      <c r="E50" s="27"/>
      <c r="F50" s="27"/>
      <c r="G50" s="27"/>
      <c r="H50" s="27"/>
      <c r="I50" s="27"/>
      <c r="J50" s="27"/>
      <c r="K50" s="26"/>
      <c r="L50" s="26"/>
      <c r="M50" s="28"/>
      <c r="N50" s="26"/>
      <c r="O50" s="26"/>
      <c r="P50" s="26"/>
      <c r="Q50" s="12"/>
      <c r="R50" s="12"/>
      <c r="S50" s="26"/>
      <c r="T50" s="26"/>
      <c r="U50" s="26"/>
      <c r="V50" s="26"/>
    </row>
    <row r="51" spans="1:22" x14ac:dyDescent="0.25">
      <c r="A51" s="26"/>
      <c r="B51" s="26"/>
      <c r="C51" s="27"/>
      <c r="D51" s="27"/>
      <c r="E51" s="27"/>
      <c r="F51" s="27"/>
      <c r="G51" s="27"/>
      <c r="H51" s="27"/>
      <c r="I51" s="27"/>
      <c r="J51" s="27"/>
      <c r="K51" s="26"/>
      <c r="L51" s="26"/>
      <c r="M51" s="28"/>
      <c r="N51" s="26"/>
      <c r="O51" s="26"/>
      <c r="P51" s="26"/>
      <c r="Q51" s="12"/>
      <c r="R51" s="12"/>
      <c r="S51" s="26"/>
      <c r="T51" s="26"/>
      <c r="U51" s="26"/>
      <c r="V51" s="26"/>
    </row>
    <row r="52" spans="1:22" x14ac:dyDescent="0.25">
      <c r="A52" s="26"/>
      <c r="B52" s="26"/>
      <c r="C52" s="27"/>
      <c r="D52" s="27"/>
      <c r="E52" s="27"/>
      <c r="F52" s="27"/>
      <c r="G52" s="27"/>
      <c r="H52" s="27"/>
      <c r="I52" s="27"/>
      <c r="J52" s="27"/>
      <c r="K52" s="26"/>
      <c r="L52" s="26"/>
      <c r="M52" s="28"/>
      <c r="N52" s="26"/>
      <c r="O52" s="26"/>
      <c r="P52" s="26"/>
      <c r="Q52" s="12"/>
      <c r="R52" s="12"/>
      <c r="S52" s="26"/>
      <c r="T52" s="26"/>
      <c r="U52" s="26"/>
      <c r="V52" s="26"/>
    </row>
    <row r="53" spans="1:22" x14ac:dyDescent="0.25">
      <c r="A53" s="26"/>
      <c r="B53" s="26"/>
      <c r="C53" s="27"/>
      <c r="D53" s="27"/>
      <c r="E53" s="27"/>
      <c r="F53" s="27"/>
      <c r="G53" s="27"/>
      <c r="H53" s="27"/>
      <c r="I53" s="27"/>
      <c r="J53" s="27"/>
      <c r="K53" s="26"/>
      <c r="L53" s="26"/>
      <c r="M53" s="28"/>
      <c r="N53" s="26"/>
      <c r="O53" s="26"/>
      <c r="P53" s="26"/>
      <c r="Q53" s="12"/>
      <c r="R53" s="12"/>
      <c r="S53" s="26"/>
      <c r="T53" s="26"/>
      <c r="U53" s="26"/>
      <c r="V53" s="26"/>
    </row>
    <row r="54" spans="1:22" x14ac:dyDescent="0.25">
      <c r="A54" s="26"/>
      <c r="B54" s="26"/>
      <c r="C54" s="27"/>
      <c r="D54" s="27"/>
      <c r="E54" s="27"/>
      <c r="F54" s="27"/>
      <c r="G54" s="27"/>
      <c r="H54" s="27"/>
      <c r="I54" s="27"/>
      <c r="J54" s="27"/>
      <c r="K54" s="26"/>
      <c r="L54" s="26"/>
      <c r="M54" s="28"/>
      <c r="N54" s="26"/>
      <c r="O54" s="34"/>
      <c r="P54" s="26"/>
      <c r="Q54" s="12"/>
      <c r="R54" s="12"/>
      <c r="S54" s="26"/>
      <c r="T54" s="26"/>
      <c r="U54" s="26"/>
      <c r="V54" s="26"/>
    </row>
    <row r="55" spans="1:22" x14ac:dyDescent="0.25">
      <c r="A55" s="26"/>
      <c r="B55" s="26"/>
      <c r="C55" s="27"/>
      <c r="D55" s="27"/>
      <c r="E55" s="27"/>
      <c r="F55" s="27"/>
      <c r="G55" s="27"/>
      <c r="H55" s="27"/>
      <c r="I55" s="27"/>
      <c r="J55" s="27"/>
      <c r="K55" s="26"/>
      <c r="L55" s="26"/>
      <c r="M55" s="28"/>
      <c r="N55" s="26"/>
      <c r="O55" s="26"/>
      <c r="P55" s="26"/>
      <c r="Q55" s="12"/>
      <c r="R55" s="12"/>
      <c r="S55" s="26"/>
      <c r="T55" s="26"/>
      <c r="U55" s="26"/>
      <c r="V55" s="26"/>
    </row>
    <row r="56" spans="1:22" x14ac:dyDescent="0.25">
      <c r="A56" s="26"/>
      <c r="B56" s="26"/>
      <c r="C56" s="27"/>
      <c r="D56" s="27"/>
      <c r="E56" s="27"/>
      <c r="F56" s="27"/>
      <c r="G56" s="27"/>
      <c r="H56" s="27"/>
      <c r="I56" s="27"/>
      <c r="J56" s="27"/>
      <c r="K56" s="26"/>
      <c r="L56" s="26"/>
      <c r="M56" s="28"/>
      <c r="N56" s="26"/>
      <c r="O56" s="26"/>
      <c r="P56" s="26"/>
      <c r="Q56" s="12"/>
      <c r="R56" s="12"/>
      <c r="S56" s="26"/>
      <c r="T56" s="26"/>
      <c r="U56" s="26"/>
      <c r="V56" s="26"/>
    </row>
    <row r="57" spans="1:22" x14ac:dyDescent="0.25">
      <c r="A57" s="26"/>
      <c r="B57" s="26"/>
      <c r="C57" s="27"/>
      <c r="D57" s="27"/>
      <c r="E57" s="27"/>
      <c r="F57" s="27"/>
      <c r="G57" s="27"/>
      <c r="H57" s="27"/>
      <c r="I57" s="27"/>
      <c r="J57" s="27"/>
      <c r="K57" s="26"/>
      <c r="L57" s="26"/>
      <c r="M57" s="28"/>
      <c r="N57" s="26"/>
      <c r="O57" s="26"/>
      <c r="P57" s="26"/>
      <c r="Q57" s="12"/>
      <c r="R57" s="12"/>
      <c r="S57" s="26"/>
      <c r="T57" s="26"/>
      <c r="U57" s="26"/>
      <c r="V57" s="26"/>
    </row>
    <row r="58" spans="1:22" x14ac:dyDescent="0.25">
      <c r="A58" s="26"/>
      <c r="B58" s="26"/>
      <c r="C58" s="27"/>
      <c r="D58" s="27"/>
      <c r="E58" s="27"/>
      <c r="F58" s="27"/>
      <c r="G58" s="27"/>
      <c r="H58" s="27"/>
      <c r="I58" s="27"/>
      <c r="J58" s="27"/>
      <c r="K58" s="26"/>
      <c r="L58" s="26"/>
      <c r="M58" s="28"/>
      <c r="N58" s="26"/>
      <c r="O58" s="26"/>
      <c r="P58" s="26"/>
      <c r="Q58" s="12"/>
      <c r="R58" s="12"/>
      <c r="S58" s="26"/>
      <c r="T58" s="26"/>
      <c r="U58" s="26"/>
      <c r="V58" s="26"/>
    </row>
    <row r="59" spans="1:22" x14ac:dyDescent="0.25">
      <c r="A59" s="26"/>
      <c r="B59" s="26"/>
      <c r="C59" s="27"/>
      <c r="D59" s="27"/>
      <c r="E59" s="27"/>
      <c r="F59" s="27"/>
      <c r="G59" s="27"/>
      <c r="H59" s="27"/>
      <c r="I59" s="27"/>
      <c r="J59" s="27"/>
      <c r="K59" s="26"/>
      <c r="L59" s="26"/>
      <c r="M59" s="28"/>
      <c r="N59" s="26"/>
      <c r="O59" s="26"/>
      <c r="P59" s="26"/>
      <c r="Q59" s="12"/>
      <c r="R59" s="12"/>
      <c r="S59" s="26"/>
      <c r="T59" s="26"/>
      <c r="U59" s="26"/>
      <c r="V59" s="26"/>
    </row>
    <row r="60" spans="1:22" x14ac:dyDescent="0.25">
      <c r="A60" s="26"/>
      <c r="B60" s="26"/>
      <c r="C60" s="27"/>
      <c r="D60" s="27"/>
      <c r="E60" s="27"/>
      <c r="F60" s="27"/>
      <c r="G60" s="27"/>
      <c r="H60" s="27"/>
      <c r="I60" s="27"/>
      <c r="J60" s="27"/>
      <c r="K60" s="26"/>
      <c r="L60" s="26"/>
      <c r="M60" s="28"/>
      <c r="N60" s="26"/>
      <c r="O60" s="26"/>
      <c r="P60" s="26"/>
      <c r="Q60" s="12"/>
      <c r="R60" s="12"/>
      <c r="S60" s="26"/>
      <c r="T60" s="26"/>
      <c r="U60" s="26"/>
      <c r="V60" s="26"/>
    </row>
    <row r="61" spans="1:22" x14ac:dyDescent="0.25">
      <c r="A61" s="26"/>
      <c r="B61" s="26"/>
      <c r="C61" s="27"/>
      <c r="D61" s="27"/>
      <c r="E61" s="27"/>
      <c r="F61" s="27"/>
      <c r="G61" s="27"/>
      <c r="H61" s="27"/>
      <c r="I61" s="27"/>
      <c r="J61" s="27"/>
      <c r="K61" s="26"/>
      <c r="L61" s="26"/>
      <c r="M61" s="28"/>
      <c r="N61" s="26"/>
      <c r="O61" s="26"/>
      <c r="P61" s="26"/>
      <c r="Q61" s="12"/>
      <c r="R61" s="12"/>
      <c r="S61" s="26"/>
      <c r="T61" s="26"/>
      <c r="U61" s="26"/>
      <c r="V61" s="26"/>
    </row>
    <row r="62" spans="1:22" x14ac:dyDescent="0.25">
      <c r="A62" s="26"/>
      <c r="B62" s="26"/>
      <c r="C62" s="27"/>
      <c r="D62" s="27"/>
      <c r="E62" s="27"/>
      <c r="F62" s="27"/>
      <c r="G62" s="27"/>
      <c r="H62" s="27"/>
      <c r="I62" s="27"/>
      <c r="J62" s="27"/>
      <c r="K62" s="26"/>
      <c r="L62" s="26"/>
      <c r="M62" s="28"/>
      <c r="N62" s="26"/>
      <c r="O62" s="34"/>
      <c r="P62" s="26"/>
      <c r="Q62" s="12"/>
      <c r="R62" s="30"/>
      <c r="S62" s="12"/>
      <c r="T62" s="26"/>
      <c r="U62" s="26"/>
      <c r="V62" s="26"/>
    </row>
    <row r="63" spans="1:22" x14ac:dyDescent="0.25">
      <c r="A63" s="26"/>
      <c r="B63" s="26"/>
      <c r="C63" s="27"/>
      <c r="D63" s="27"/>
      <c r="E63" s="27"/>
      <c r="F63" s="27"/>
      <c r="G63" s="27"/>
      <c r="H63" s="27"/>
      <c r="I63" s="27"/>
      <c r="J63" s="27"/>
      <c r="K63" s="26"/>
      <c r="L63" s="26"/>
      <c r="M63" s="28"/>
      <c r="N63" s="26"/>
      <c r="O63" s="26"/>
      <c r="P63" s="26"/>
      <c r="Q63" s="12"/>
      <c r="R63" s="12"/>
      <c r="S63" s="26"/>
      <c r="T63" s="26"/>
      <c r="U63" s="26"/>
      <c r="V63" s="26"/>
    </row>
    <row r="64" spans="1:22" x14ac:dyDescent="0.25">
      <c r="A64" s="26"/>
      <c r="B64" s="26"/>
      <c r="C64" s="27"/>
      <c r="D64" s="27"/>
      <c r="E64" s="27"/>
      <c r="F64" s="27"/>
      <c r="G64" s="27"/>
      <c r="H64" s="27"/>
      <c r="I64" s="27"/>
      <c r="J64" s="27"/>
      <c r="K64" s="26"/>
      <c r="L64" s="26"/>
      <c r="M64" s="28"/>
      <c r="N64" s="26"/>
      <c r="O64" s="34"/>
      <c r="P64" s="26"/>
      <c r="Q64" s="12"/>
      <c r="R64" s="12"/>
      <c r="S64" s="26"/>
      <c r="T64" s="26"/>
      <c r="U64" s="26"/>
      <c r="V64" s="26"/>
    </row>
    <row r="65" spans="1:22" x14ac:dyDescent="0.25">
      <c r="A65" s="26"/>
      <c r="B65" s="26"/>
      <c r="C65" s="27"/>
      <c r="D65" s="27"/>
      <c r="E65" s="27"/>
      <c r="F65" s="27"/>
      <c r="G65" s="27"/>
      <c r="H65" s="27"/>
      <c r="I65" s="27"/>
      <c r="J65" s="27"/>
      <c r="K65" s="26"/>
      <c r="L65" s="26"/>
      <c r="M65" s="28"/>
      <c r="N65" s="26"/>
      <c r="O65" s="26"/>
      <c r="P65" s="26"/>
      <c r="Q65" s="12"/>
      <c r="R65" s="12"/>
      <c r="S65" s="26"/>
      <c r="T65" s="26"/>
      <c r="U65" s="26"/>
      <c r="V65" s="26"/>
    </row>
    <row r="66" spans="1:22" x14ac:dyDescent="0.25">
      <c r="A66" s="26"/>
      <c r="B66" s="26"/>
      <c r="C66" s="27"/>
      <c r="D66" s="27"/>
      <c r="E66" s="27"/>
      <c r="F66" s="27"/>
      <c r="G66" s="27"/>
      <c r="H66" s="27"/>
      <c r="I66" s="27"/>
      <c r="J66" s="27"/>
      <c r="K66" s="26"/>
      <c r="L66" s="26"/>
      <c r="M66" s="28"/>
      <c r="N66" s="26"/>
      <c r="O66" s="26"/>
      <c r="P66" s="26"/>
      <c r="Q66" s="12"/>
      <c r="R66" s="12"/>
      <c r="S66" s="26"/>
      <c r="T66" s="26"/>
      <c r="U66" s="26"/>
      <c r="V66" s="26"/>
    </row>
    <row r="67" spans="1:22" x14ac:dyDescent="0.25">
      <c r="A67" s="26"/>
      <c r="B67" s="26"/>
      <c r="C67" s="27"/>
      <c r="D67" s="27"/>
      <c r="E67" s="27"/>
      <c r="F67" s="27"/>
      <c r="G67" s="27"/>
      <c r="H67" s="27"/>
      <c r="I67" s="27"/>
      <c r="J67" s="27"/>
      <c r="K67" s="26"/>
      <c r="L67" s="26"/>
      <c r="M67" s="28"/>
      <c r="N67" s="26"/>
      <c r="O67" s="26"/>
      <c r="P67" s="26"/>
      <c r="Q67" s="12"/>
      <c r="R67" s="12"/>
      <c r="S67" s="26"/>
      <c r="T67" s="26"/>
      <c r="U67" s="26"/>
      <c r="V67" s="26"/>
    </row>
    <row r="68" spans="1:22" x14ac:dyDescent="0.25">
      <c r="A68" s="26"/>
      <c r="B68" s="26"/>
      <c r="C68" s="27"/>
      <c r="D68" s="27"/>
      <c r="E68" s="27"/>
      <c r="F68" s="27"/>
      <c r="G68" s="27"/>
      <c r="H68" s="27"/>
      <c r="I68" s="27"/>
      <c r="J68" s="27"/>
      <c r="K68" s="26"/>
      <c r="L68" s="26"/>
      <c r="M68" s="28"/>
      <c r="N68" s="26"/>
      <c r="O68" s="26"/>
      <c r="P68" s="26"/>
      <c r="Q68" s="12"/>
      <c r="R68" s="12"/>
      <c r="S68" s="26"/>
      <c r="T68" s="26"/>
      <c r="U68" s="26"/>
      <c r="V68" s="26"/>
    </row>
    <row r="69" spans="1:22" x14ac:dyDescent="0.25">
      <c r="A69" s="26"/>
      <c r="B69" s="26"/>
      <c r="C69" s="27"/>
      <c r="D69" s="27"/>
      <c r="E69" s="27"/>
      <c r="F69" s="27"/>
      <c r="G69" s="27"/>
      <c r="H69" s="27"/>
      <c r="I69" s="27"/>
      <c r="J69" s="27"/>
      <c r="K69" s="26"/>
      <c r="L69" s="26"/>
      <c r="M69" s="28"/>
      <c r="N69" s="26"/>
      <c r="O69" s="26"/>
      <c r="P69" s="26"/>
      <c r="Q69" s="12"/>
      <c r="R69" s="12"/>
      <c r="S69" s="26"/>
      <c r="T69" s="26"/>
      <c r="U69" s="26"/>
      <c r="V69" s="26"/>
    </row>
    <row r="70" spans="1:22" x14ac:dyDescent="0.25">
      <c r="A70" s="26"/>
      <c r="B70" s="26"/>
      <c r="C70" s="27"/>
      <c r="D70" s="27"/>
      <c r="E70" s="27"/>
      <c r="F70" s="27"/>
      <c r="G70" s="27"/>
      <c r="H70" s="27"/>
      <c r="I70" s="27"/>
      <c r="J70" s="27"/>
      <c r="K70" s="26"/>
      <c r="L70" s="26"/>
      <c r="M70" s="28"/>
      <c r="N70" s="26"/>
      <c r="O70" s="26"/>
      <c r="P70" s="26"/>
      <c r="Q70" s="12"/>
      <c r="R70" s="12"/>
      <c r="S70" s="26"/>
      <c r="T70" s="26"/>
      <c r="U70" s="26"/>
      <c r="V70" s="26"/>
    </row>
    <row r="71" spans="1:22" x14ac:dyDescent="0.25">
      <c r="A71" s="26"/>
      <c r="B71" s="26"/>
      <c r="C71" s="27"/>
      <c r="D71" s="27"/>
      <c r="E71" s="27"/>
      <c r="F71" s="27"/>
      <c r="G71" s="27"/>
      <c r="H71" s="27"/>
      <c r="I71" s="27"/>
      <c r="J71" s="27"/>
      <c r="K71" s="26"/>
      <c r="L71" s="26"/>
      <c r="M71" s="28"/>
      <c r="N71" s="26"/>
      <c r="O71" s="26"/>
      <c r="P71" s="26"/>
      <c r="Q71" s="12"/>
      <c r="R71" s="12"/>
      <c r="S71" s="26"/>
      <c r="T71" s="26"/>
      <c r="U71" s="26"/>
      <c r="V71" s="26"/>
    </row>
    <row r="72" spans="1:22" x14ac:dyDescent="0.25">
      <c r="A72" s="26"/>
      <c r="B72" s="26"/>
      <c r="C72" s="27"/>
      <c r="D72" s="27"/>
      <c r="E72" s="27"/>
      <c r="F72" s="27"/>
      <c r="G72" s="27"/>
      <c r="H72" s="27"/>
      <c r="I72" s="27"/>
      <c r="J72" s="27"/>
      <c r="K72" s="26"/>
      <c r="L72" s="26"/>
      <c r="M72" s="28"/>
      <c r="N72" s="26"/>
      <c r="O72" s="26"/>
      <c r="P72" s="26"/>
      <c r="Q72" s="12"/>
      <c r="R72" s="12"/>
      <c r="S72" s="26"/>
      <c r="T72" s="26"/>
      <c r="U72" s="26"/>
      <c r="V72" s="26"/>
    </row>
    <row r="73" spans="1:22" x14ac:dyDescent="0.25">
      <c r="A73" s="26"/>
      <c r="B73" s="26"/>
      <c r="C73" s="27"/>
      <c r="D73" s="27"/>
      <c r="E73" s="27"/>
      <c r="F73" s="27"/>
      <c r="G73" s="27"/>
      <c r="H73" s="27"/>
      <c r="I73" s="27"/>
      <c r="J73" s="27"/>
      <c r="K73" s="26"/>
      <c r="L73" s="26"/>
      <c r="M73" s="28"/>
      <c r="N73" s="26"/>
      <c r="O73" s="26"/>
      <c r="P73" s="26"/>
      <c r="Q73" s="12"/>
      <c r="R73" s="12"/>
      <c r="S73" s="26"/>
      <c r="T73" s="26"/>
      <c r="U73" s="26"/>
      <c r="V73" s="26"/>
    </row>
    <row r="74" spans="1:22" x14ac:dyDescent="0.25">
      <c r="A74" s="26"/>
      <c r="B74" s="26"/>
      <c r="C74" s="27"/>
      <c r="D74" s="27"/>
      <c r="E74" s="27"/>
      <c r="F74" s="27"/>
      <c r="G74" s="27"/>
      <c r="H74" s="27"/>
      <c r="I74" s="27"/>
      <c r="J74" s="27"/>
      <c r="K74" s="26"/>
      <c r="L74" s="26"/>
      <c r="M74" s="28"/>
      <c r="N74" s="26"/>
      <c r="O74" s="26"/>
      <c r="P74" s="26"/>
      <c r="Q74" s="12"/>
      <c r="R74" s="30"/>
      <c r="S74" s="12"/>
      <c r="T74" s="26"/>
      <c r="U74" s="26"/>
      <c r="V74" s="26"/>
    </row>
    <row r="75" spans="1:22" x14ac:dyDescent="0.25">
      <c r="A75" s="26"/>
      <c r="B75" s="26"/>
      <c r="C75" s="27"/>
      <c r="D75" s="27"/>
      <c r="E75" s="27"/>
      <c r="F75" s="27"/>
      <c r="G75" s="27"/>
      <c r="H75" s="27"/>
      <c r="I75" s="27"/>
      <c r="J75" s="27"/>
      <c r="K75" s="26"/>
      <c r="L75" s="26"/>
      <c r="M75" s="28"/>
      <c r="N75" s="26"/>
      <c r="O75" s="26"/>
      <c r="P75" s="26"/>
      <c r="Q75" s="12"/>
      <c r="R75" s="12"/>
      <c r="S75" s="26"/>
      <c r="T75" s="26"/>
      <c r="U75" s="26"/>
      <c r="V75" s="26"/>
    </row>
    <row r="76" spans="1:22" x14ac:dyDescent="0.25">
      <c r="A76" s="26"/>
      <c r="B76" s="26"/>
      <c r="C76" s="27"/>
      <c r="D76" s="27"/>
      <c r="E76" s="27"/>
      <c r="F76" s="27"/>
      <c r="G76" s="27"/>
      <c r="H76" s="27"/>
      <c r="I76" s="27"/>
      <c r="J76" s="27"/>
      <c r="K76" s="26"/>
      <c r="L76" s="26"/>
      <c r="M76" s="28"/>
      <c r="N76" s="26"/>
      <c r="O76" s="26"/>
      <c r="P76" s="26"/>
      <c r="Q76" s="12"/>
      <c r="R76" s="12"/>
      <c r="S76" s="26"/>
      <c r="T76" s="26"/>
      <c r="U76" s="26"/>
      <c r="V76" s="26"/>
    </row>
    <row r="77" spans="1:22" x14ac:dyDescent="0.25">
      <c r="A77" s="26"/>
      <c r="B77" s="26"/>
      <c r="C77" s="27"/>
      <c r="D77" s="27"/>
      <c r="E77" s="27"/>
      <c r="F77" s="27"/>
      <c r="G77" s="27"/>
      <c r="H77" s="27"/>
      <c r="I77" s="27"/>
      <c r="J77" s="27"/>
      <c r="K77" s="26"/>
      <c r="L77" s="26"/>
      <c r="M77" s="28"/>
      <c r="N77" s="26"/>
      <c r="O77" s="26"/>
      <c r="P77" s="26"/>
      <c r="Q77" s="12"/>
      <c r="R77" s="12"/>
      <c r="S77" s="26"/>
      <c r="T77" s="26"/>
      <c r="U77" s="26"/>
      <c r="V77" s="26"/>
    </row>
    <row r="78" spans="1:22" x14ac:dyDescent="0.25">
      <c r="A78" s="26"/>
      <c r="B78" s="26"/>
      <c r="C78" s="27"/>
      <c r="D78" s="27"/>
      <c r="E78" s="27"/>
      <c r="F78" s="27"/>
      <c r="G78" s="27"/>
      <c r="H78" s="27"/>
      <c r="I78" s="27"/>
      <c r="J78" s="27"/>
      <c r="K78" s="26"/>
      <c r="L78" s="26"/>
      <c r="M78" s="28"/>
      <c r="N78" s="26"/>
      <c r="O78" s="26"/>
      <c r="P78" s="26"/>
      <c r="Q78" s="12"/>
      <c r="R78" s="12"/>
      <c r="S78" s="26"/>
      <c r="T78" s="26"/>
      <c r="U78" s="26"/>
      <c r="V78" s="26"/>
    </row>
    <row r="79" spans="1:22" x14ac:dyDescent="0.25">
      <c r="A79" s="26"/>
      <c r="B79" s="26"/>
      <c r="C79" s="27"/>
      <c r="D79" s="27"/>
      <c r="E79" s="27"/>
      <c r="F79" s="27"/>
      <c r="G79" s="27"/>
      <c r="H79" s="27"/>
      <c r="I79" s="27"/>
      <c r="J79" s="27"/>
      <c r="K79" s="26"/>
      <c r="L79" s="26"/>
      <c r="M79" s="28"/>
      <c r="N79" s="26"/>
      <c r="O79" s="26"/>
      <c r="P79" s="26"/>
      <c r="Q79" s="12"/>
      <c r="R79" s="12"/>
      <c r="S79" s="26"/>
      <c r="T79" s="26"/>
      <c r="U79" s="26"/>
      <c r="V79" s="26"/>
    </row>
    <row r="80" spans="1:22" x14ac:dyDescent="0.25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6"/>
      <c r="L80" s="26"/>
      <c r="M80" s="28"/>
      <c r="N80" s="26"/>
      <c r="O80" s="26"/>
      <c r="P80" s="26"/>
      <c r="Q80" s="26"/>
      <c r="R80" s="26"/>
      <c r="S80" s="26"/>
      <c r="T80" s="26"/>
      <c r="U80" s="26"/>
      <c r="V80" s="26"/>
    </row>
    <row r="81" spans="1:22" x14ac:dyDescent="0.25">
      <c r="A81" s="26"/>
      <c r="B81" s="26"/>
      <c r="C81" s="27"/>
      <c r="D81" s="27"/>
      <c r="E81" s="27"/>
      <c r="F81" s="27"/>
      <c r="G81" s="27"/>
      <c r="H81" s="27"/>
      <c r="I81" s="27"/>
      <c r="J81" s="27"/>
      <c r="K81" s="26"/>
      <c r="L81" s="26"/>
      <c r="M81" s="28"/>
      <c r="N81" s="26"/>
      <c r="O81" s="26"/>
      <c r="P81" s="26"/>
      <c r="Q81" s="26"/>
      <c r="R81" s="26"/>
      <c r="S81" s="26"/>
      <c r="T81" s="26"/>
      <c r="U81" s="26"/>
      <c r="V81" s="26"/>
    </row>
    <row r="82" spans="1:22" x14ac:dyDescent="0.25">
      <c r="A82" s="35"/>
      <c r="B82" s="35"/>
      <c r="C82" s="36"/>
      <c r="D82" s="36"/>
      <c r="E82" s="36"/>
      <c r="F82" s="36"/>
      <c r="G82" s="36"/>
      <c r="H82" s="36"/>
      <c r="I82" s="36"/>
      <c r="J82" s="36"/>
      <c r="K82" s="35"/>
      <c r="L82" s="37"/>
      <c r="M82" s="38"/>
      <c r="N82" s="35"/>
      <c r="O82" s="26"/>
      <c r="P82" s="35"/>
      <c r="Q82" s="26"/>
      <c r="R82" s="26"/>
      <c r="S82" s="26"/>
      <c r="T82" s="26"/>
      <c r="U82" s="26"/>
      <c r="V82" s="26"/>
    </row>
    <row r="83" spans="1:22" x14ac:dyDescent="0.25">
      <c r="A83" s="15"/>
      <c r="B83" s="15"/>
      <c r="C83" s="36"/>
      <c r="D83" s="36"/>
      <c r="E83" s="36"/>
      <c r="F83" s="36"/>
      <c r="G83" s="36"/>
      <c r="H83" s="36"/>
      <c r="I83" s="36"/>
      <c r="J83" s="36"/>
      <c r="K83" s="8"/>
      <c r="L83" s="37"/>
      <c r="M83" s="39"/>
      <c r="N83" s="8"/>
      <c r="O83" s="26"/>
      <c r="P83" s="8"/>
      <c r="Q83" s="26"/>
      <c r="R83" s="8"/>
      <c r="S83" s="8"/>
      <c r="T83" s="8"/>
      <c r="U83" s="8"/>
      <c r="V83" s="8"/>
    </row>
    <row r="84" spans="1:22" x14ac:dyDescent="0.25">
      <c r="A84" s="8"/>
      <c r="B84" s="8"/>
      <c r="C84" s="40"/>
      <c r="D84" s="40"/>
      <c r="E84" s="40"/>
      <c r="F84" s="40"/>
      <c r="G84" s="40"/>
      <c r="H84" s="40"/>
      <c r="I84" s="40"/>
      <c r="J84" s="40"/>
      <c r="K84" s="8"/>
      <c r="L84" s="8"/>
      <c r="M84" s="41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25">
      <c r="A85" s="8"/>
      <c r="B85" s="8"/>
      <c r="C85" s="40"/>
      <c r="D85" s="40"/>
      <c r="E85" s="40"/>
      <c r="F85" s="40"/>
      <c r="G85" s="40"/>
      <c r="H85" s="40"/>
      <c r="I85" s="40"/>
      <c r="J85" s="40"/>
      <c r="K85" s="8"/>
      <c r="L85" s="8"/>
      <c r="M85" s="41"/>
      <c r="N85" s="8"/>
      <c r="O85" s="8"/>
      <c r="P85" s="8"/>
      <c r="Q85" s="8"/>
      <c r="R85" s="8"/>
      <c r="S85" s="8"/>
      <c r="T85" s="8"/>
      <c r="U85" s="8"/>
      <c r="V85" s="8"/>
    </row>
    <row r="86" spans="1:22" x14ac:dyDescent="0.25">
      <c r="A86" s="8"/>
      <c r="B86" s="8"/>
      <c r="C86" s="40"/>
      <c r="D86" s="40"/>
      <c r="E86" s="40"/>
      <c r="F86" s="40"/>
      <c r="G86" s="40"/>
      <c r="H86" s="40"/>
      <c r="I86" s="40"/>
      <c r="J86" s="40"/>
      <c r="K86" s="8"/>
      <c r="L86" s="8"/>
      <c r="M86" s="41"/>
      <c r="N86" s="8"/>
      <c r="O86" s="8"/>
      <c r="P86" s="8"/>
      <c r="Q86" s="8"/>
      <c r="R86" s="8"/>
      <c r="S86" s="8"/>
      <c r="T86" s="8"/>
      <c r="U86" s="8"/>
      <c r="V86" s="8"/>
    </row>
    <row r="87" spans="1:22" x14ac:dyDescent="0.25">
      <c r="A87" s="8"/>
      <c r="B87" s="8"/>
      <c r="C87" s="40"/>
      <c r="D87" s="40"/>
      <c r="E87" s="40"/>
      <c r="F87" s="40"/>
      <c r="G87" s="40"/>
      <c r="H87" s="40"/>
      <c r="I87" s="40"/>
      <c r="J87" s="40"/>
      <c r="K87" s="8"/>
      <c r="L87" s="8"/>
      <c r="M87" s="41"/>
      <c r="N87" s="8"/>
      <c r="O87" s="8"/>
      <c r="P87" s="8"/>
      <c r="Q87" s="8"/>
      <c r="R87" s="8"/>
      <c r="S87" s="8"/>
      <c r="T87" s="8"/>
      <c r="U87" s="8"/>
      <c r="V87" s="8"/>
    </row>
    <row r="88" spans="1:22" x14ac:dyDescent="0.25">
      <c r="A88" s="8"/>
      <c r="B88" s="8"/>
      <c r="C88" s="40"/>
      <c r="D88" s="40"/>
      <c r="E88" s="40"/>
      <c r="F88" s="40"/>
      <c r="G88" s="40"/>
      <c r="H88" s="40"/>
      <c r="I88" s="40"/>
      <c r="J88" s="40"/>
      <c r="K88" s="8"/>
      <c r="L88" s="8"/>
      <c r="M88" s="41"/>
      <c r="N88" s="8"/>
      <c r="O88" s="8"/>
      <c r="P88" s="8"/>
      <c r="Q88" s="8"/>
      <c r="R88" s="8"/>
      <c r="S88" s="8"/>
      <c r="T88" s="8"/>
      <c r="U88" s="8"/>
      <c r="V88" s="8"/>
    </row>
    <row r="89" spans="1:22" x14ac:dyDescent="0.25">
      <c r="A89" s="8"/>
      <c r="B89" s="8"/>
      <c r="C89" s="40"/>
      <c r="D89" s="40"/>
      <c r="E89" s="40"/>
      <c r="F89" s="40"/>
      <c r="G89" s="40"/>
      <c r="H89" s="40"/>
      <c r="I89" s="40"/>
      <c r="J89" s="40"/>
      <c r="K89" s="8"/>
      <c r="L89" s="8"/>
      <c r="M89" s="41"/>
      <c r="N89" s="8"/>
      <c r="O89" s="8"/>
      <c r="P89" s="8"/>
      <c r="Q89" s="8"/>
      <c r="R89" s="8"/>
      <c r="S89" s="8"/>
      <c r="T89" s="8"/>
      <c r="U89" s="8"/>
      <c r="V89" s="8"/>
    </row>
    <row r="90" spans="1:22" x14ac:dyDescent="0.25">
      <c r="A90" s="8"/>
      <c r="B90" s="8"/>
      <c r="C90" s="40"/>
      <c r="D90" s="40"/>
      <c r="E90" s="40"/>
      <c r="F90" s="40"/>
      <c r="G90" s="40"/>
      <c r="H90" s="40"/>
      <c r="I90" s="40"/>
      <c r="J90" s="40"/>
      <c r="K90" s="8"/>
      <c r="L90" s="8"/>
      <c r="M90" s="41"/>
      <c r="N90" s="8"/>
      <c r="O90" s="8"/>
      <c r="P90" s="8"/>
      <c r="Q90" s="8"/>
      <c r="R90" s="8"/>
      <c r="S90" s="8"/>
      <c r="T90" s="8"/>
      <c r="U90" s="8"/>
      <c r="V90" s="8"/>
    </row>
    <row r="91" spans="1:22" x14ac:dyDescent="0.25">
      <c r="A91" s="8"/>
      <c r="B91" s="8"/>
      <c r="C91" s="40"/>
      <c r="D91" s="40"/>
      <c r="E91" s="40"/>
      <c r="F91" s="40"/>
      <c r="G91" s="40"/>
      <c r="H91" s="40"/>
      <c r="I91" s="40"/>
      <c r="J91" s="40"/>
      <c r="K91" s="8"/>
      <c r="L91" s="8"/>
      <c r="M91" s="41"/>
      <c r="N91" s="8"/>
      <c r="O91" s="8"/>
      <c r="P91" s="8"/>
      <c r="Q91" s="8"/>
      <c r="R91" s="8"/>
      <c r="S91" s="8"/>
      <c r="T91" s="8"/>
      <c r="U91" s="8"/>
      <c r="V91" s="8"/>
    </row>
    <row r="92" spans="1:22" x14ac:dyDescent="0.25">
      <c r="A92" s="8"/>
      <c r="B92" s="8"/>
      <c r="C92" s="40"/>
      <c r="D92" s="40"/>
      <c r="E92" s="40"/>
      <c r="F92" s="40"/>
      <c r="G92" s="40"/>
      <c r="H92" s="40"/>
      <c r="I92" s="40"/>
      <c r="J92" s="40"/>
      <c r="K92" s="8"/>
      <c r="L92" s="8"/>
      <c r="M92" s="41"/>
      <c r="N92" s="8"/>
      <c r="O92" s="8"/>
      <c r="P92" s="8"/>
      <c r="Q92" s="8"/>
      <c r="R92" s="8"/>
      <c r="S92" s="8"/>
      <c r="T92" s="8"/>
      <c r="U92" s="8"/>
      <c r="V92" s="8"/>
    </row>
    <row r="93" spans="1:22" x14ac:dyDescent="0.25">
      <c r="A93" s="8"/>
      <c r="B93" s="8"/>
      <c r="C93" s="40"/>
      <c r="D93" s="40"/>
      <c r="E93" s="40"/>
      <c r="F93" s="40"/>
      <c r="G93" s="40"/>
      <c r="H93" s="40"/>
      <c r="I93" s="40"/>
      <c r="J93" s="40"/>
      <c r="K93" s="8"/>
      <c r="L93" s="8"/>
      <c r="M93" s="41"/>
      <c r="N93" s="8"/>
      <c r="O93" s="8"/>
      <c r="P93" s="8"/>
      <c r="Q93" s="8"/>
      <c r="R93" s="8"/>
      <c r="S93" s="8"/>
      <c r="T93" s="8"/>
      <c r="U93" s="8"/>
      <c r="V93" s="8"/>
    </row>
    <row r="94" spans="1:22" x14ac:dyDescent="0.25">
      <c r="A94" s="8"/>
      <c r="B94" s="8"/>
      <c r="C94" s="40"/>
      <c r="D94" s="40"/>
      <c r="E94" s="40"/>
      <c r="F94" s="40"/>
      <c r="G94" s="40"/>
      <c r="H94" s="40"/>
      <c r="I94" s="40"/>
      <c r="J94" s="40"/>
      <c r="K94" s="8"/>
      <c r="L94" s="8"/>
      <c r="M94" s="41"/>
      <c r="N94" s="8"/>
      <c r="O94" s="8"/>
      <c r="P94" s="8"/>
      <c r="Q94" s="8"/>
      <c r="R94" s="8"/>
      <c r="S94" s="8"/>
      <c r="T94" s="8"/>
      <c r="U94" s="8"/>
      <c r="V94" s="8"/>
    </row>
    <row r="95" spans="1:22" x14ac:dyDescent="0.25">
      <c r="A95" s="8"/>
      <c r="B95" s="8"/>
      <c r="C95" s="40"/>
      <c r="D95" s="40"/>
      <c r="E95" s="40"/>
      <c r="F95" s="40"/>
      <c r="G95" s="40"/>
      <c r="H95" s="40"/>
      <c r="I95" s="40"/>
      <c r="J95" s="40"/>
      <c r="K95" s="8"/>
      <c r="L95" s="8"/>
      <c r="M95" s="41"/>
      <c r="N95" s="8"/>
      <c r="O95" s="8"/>
      <c r="P95" s="8"/>
      <c r="Q95" s="8"/>
      <c r="R95" s="8"/>
      <c r="S95" s="8"/>
      <c r="T95" s="8"/>
      <c r="U95" s="8"/>
      <c r="V95" s="8"/>
    </row>
    <row r="96" spans="1:22" x14ac:dyDescent="0.25">
      <c r="A96" s="8"/>
      <c r="B96" s="8"/>
      <c r="C96" s="40"/>
      <c r="D96" s="40"/>
      <c r="E96" s="40"/>
      <c r="F96" s="40"/>
      <c r="G96" s="40"/>
      <c r="H96" s="40"/>
      <c r="I96" s="40"/>
      <c r="J96" s="40"/>
      <c r="K96" s="8"/>
      <c r="L96" s="8"/>
      <c r="M96" s="41"/>
      <c r="N96" s="8"/>
      <c r="O96" s="8"/>
      <c r="P96" s="8"/>
      <c r="Q96" s="8"/>
      <c r="R96" s="8"/>
      <c r="S96" s="8"/>
      <c r="T96" s="8"/>
      <c r="U96" s="8"/>
      <c r="V96" s="8"/>
    </row>
    <row r="97" spans="1:22" x14ac:dyDescent="0.25">
      <c r="A97" s="8"/>
      <c r="B97" s="8"/>
      <c r="C97" s="40"/>
      <c r="D97" s="40"/>
      <c r="E97" s="40"/>
      <c r="F97" s="40"/>
      <c r="G97" s="40"/>
      <c r="H97" s="40"/>
      <c r="I97" s="40"/>
      <c r="J97" s="40"/>
      <c r="K97" s="8"/>
      <c r="L97" s="8"/>
      <c r="M97" s="41"/>
      <c r="N97" s="8"/>
      <c r="O97" s="8"/>
      <c r="P97" s="8"/>
      <c r="Q97" s="8"/>
      <c r="R97" s="8"/>
      <c r="S97" s="8"/>
      <c r="T97" s="8"/>
      <c r="U97" s="8"/>
      <c r="V97" s="8"/>
    </row>
    <row r="98" spans="1:22" x14ac:dyDescent="0.25">
      <c r="A98" s="8"/>
      <c r="B98" s="8"/>
      <c r="C98" s="40"/>
      <c r="D98" s="40"/>
      <c r="E98" s="40"/>
      <c r="F98" s="40"/>
      <c r="G98" s="40"/>
      <c r="H98" s="40"/>
      <c r="I98" s="40"/>
      <c r="J98" s="40"/>
      <c r="K98" s="8"/>
      <c r="L98" s="8"/>
      <c r="M98" s="41"/>
      <c r="N98" s="8"/>
      <c r="O98" s="8"/>
      <c r="P98" s="8"/>
      <c r="Q98" s="8"/>
      <c r="R98" s="8"/>
      <c r="S98" s="8"/>
      <c r="T98" s="8"/>
      <c r="U98" s="8"/>
      <c r="V98" s="8"/>
    </row>
    <row r="99" spans="1:22" x14ac:dyDescent="0.25">
      <c r="A99" s="8"/>
      <c r="B99" s="8"/>
      <c r="C99" s="40"/>
      <c r="D99" s="40"/>
      <c r="E99" s="40"/>
      <c r="F99" s="40"/>
      <c r="G99" s="40"/>
      <c r="H99" s="40"/>
      <c r="I99" s="40"/>
      <c r="J99" s="40"/>
      <c r="K99" s="8"/>
      <c r="L99" s="8"/>
      <c r="M99" s="41"/>
      <c r="N99" s="8"/>
      <c r="O99" s="8"/>
      <c r="P99" s="8"/>
      <c r="Q99" s="8"/>
      <c r="R99" s="8"/>
      <c r="S99" s="8"/>
      <c r="T99" s="8"/>
      <c r="U99" s="8"/>
      <c r="V99" s="8"/>
    </row>
    <row r="100" spans="1:22" x14ac:dyDescent="0.25">
      <c r="A100" s="8"/>
      <c r="B100" s="8"/>
      <c r="C100" s="40"/>
      <c r="D100" s="40"/>
      <c r="E100" s="40"/>
      <c r="F100" s="40"/>
      <c r="G100" s="40"/>
      <c r="H100" s="40"/>
      <c r="I100" s="40"/>
      <c r="J100" s="40"/>
      <c r="K100" s="8"/>
      <c r="L100" s="8"/>
      <c r="M100" s="41"/>
      <c r="N100" s="8"/>
      <c r="O100" s="8"/>
      <c r="P100" s="8"/>
      <c r="Q100" s="8"/>
      <c r="R100" s="8"/>
      <c r="S100" s="8"/>
      <c r="T100" s="8"/>
      <c r="U100" s="8"/>
      <c r="V100" s="8"/>
    </row>
    <row r="101" spans="1:22" x14ac:dyDescent="0.25">
      <c r="A101" s="8"/>
      <c r="B101" s="8"/>
      <c r="C101" s="40"/>
      <c r="D101" s="40"/>
      <c r="E101" s="40"/>
      <c r="F101" s="40"/>
      <c r="G101" s="40"/>
      <c r="H101" s="40"/>
      <c r="I101" s="40"/>
      <c r="J101" s="40"/>
      <c r="K101" s="8"/>
      <c r="L101" s="8"/>
      <c r="M101" s="41"/>
      <c r="N101" s="8"/>
      <c r="O101" s="8"/>
      <c r="P101" s="8"/>
      <c r="Q101" s="8"/>
      <c r="R101" s="8"/>
      <c r="S101" s="8"/>
      <c r="T101" s="8"/>
      <c r="U101" s="8"/>
      <c r="V101" s="8"/>
    </row>
    <row r="102" spans="1:22" x14ac:dyDescent="0.25">
      <c r="A102" s="8"/>
      <c r="B102" s="8"/>
      <c r="C102" s="40"/>
      <c r="D102" s="40"/>
      <c r="E102" s="40"/>
      <c r="F102" s="40"/>
      <c r="G102" s="40"/>
      <c r="H102" s="40"/>
      <c r="I102" s="40"/>
      <c r="J102" s="40"/>
      <c r="K102" s="8"/>
      <c r="L102" s="8"/>
      <c r="M102" s="41"/>
      <c r="N102" s="8"/>
      <c r="O102" s="8"/>
      <c r="P102" s="8"/>
      <c r="Q102" s="8"/>
      <c r="R102" s="8"/>
      <c r="S102" s="8"/>
      <c r="T102" s="8"/>
      <c r="U102" s="8"/>
      <c r="V102" s="8"/>
    </row>
    <row r="103" spans="1:22" x14ac:dyDescent="0.25">
      <c r="A103" s="8"/>
      <c r="B103" s="8"/>
      <c r="C103" s="40"/>
      <c r="D103" s="40"/>
      <c r="E103" s="40"/>
      <c r="F103" s="40"/>
      <c r="G103" s="40"/>
      <c r="H103" s="40"/>
      <c r="I103" s="40"/>
      <c r="J103" s="40"/>
      <c r="K103" s="8"/>
      <c r="L103" s="8"/>
      <c r="M103" s="41"/>
      <c r="N103" s="8"/>
      <c r="O103" s="8"/>
      <c r="P103" s="8"/>
      <c r="Q103" s="8"/>
      <c r="R103" s="8"/>
      <c r="S103" s="8"/>
      <c r="T103" s="8"/>
      <c r="U103" s="8"/>
      <c r="V103" s="8"/>
    </row>
    <row r="104" spans="1:22" x14ac:dyDescent="0.25">
      <c r="A104" s="8"/>
      <c r="B104" s="8"/>
      <c r="C104" s="40"/>
      <c r="D104" s="40"/>
      <c r="E104" s="40"/>
      <c r="F104" s="40"/>
      <c r="G104" s="40"/>
      <c r="H104" s="40"/>
      <c r="I104" s="40"/>
      <c r="J104" s="40"/>
      <c r="K104" s="8"/>
      <c r="L104" s="8"/>
      <c r="M104" s="41"/>
      <c r="N104" s="8"/>
      <c r="O104" s="8"/>
      <c r="P104" s="8"/>
      <c r="Q104" s="8"/>
      <c r="R104" s="8"/>
      <c r="S104" s="8"/>
      <c r="T104" s="8"/>
      <c r="U104" s="8"/>
      <c r="V104" s="8"/>
    </row>
    <row r="105" spans="1:22" x14ac:dyDescent="0.25">
      <c r="A105" s="8"/>
      <c r="B105" s="8"/>
      <c r="C105" s="40"/>
      <c r="D105" s="40"/>
      <c r="E105" s="40"/>
      <c r="F105" s="40"/>
      <c r="G105" s="40"/>
      <c r="H105" s="40"/>
      <c r="I105" s="40"/>
      <c r="J105" s="40"/>
      <c r="K105" s="8"/>
      <c r="L105" s="8"/>
      <c r="M105" s="41"/>
      <c r="N105" s="8"/>
      <c r="O105" s="8"/>
      <c r="P105" s="8"/>
      <c r="Q105" s="8"/>
      <c r="R105" s="8"/>
      <c r="S105" s="8"/>
      <c r="T105" s="8"/>
      <c r="U105" s="8"/>
      <c r="V105" s="8"/>
    </row>
    <row r="106" spans="1:22" x14ac:dyDescent="0.25">
      <c r="A106" s="8"/>
      <c r="B106" s="8"/>
      <c r="C106" s="40"/>
      <c r="D106" s="40"/>
      <c r="E106" s="40"/>
      <c r="F106" s="40"/>
      <c r="G106" s="40"/>
      <c r="H106" s="40"/>
      <c r="I106" s="40"/>
      <c r="J106" s="40"/>
      <c r="K106" s="8"/>
      <c r="L106" s="8"/>
      <c r="M106" s="41"/>
      <c r="N106" s="8"/>
      <c r="O106" s="8"/>
      <c r="P106" s="8"/>
      <c r="Q106" s="8"/>
      <c r="R106" s="8"/>
      <c r="S106" s="8"/>
      <c r="T106" s="8"/>
      <c r="U106" s="8"/>
      <c r="V106" s="8"/>
    </row>
    <row r="107" spans="1:22" x14ac:dyDescent="0.25">
      <c r="A107" s="8"/>
      <c r="B107" s="8"/>
      <c r="C107" s="40"/>
      <c r="D107" s="40"/>
      <c r="E107" s="40"/>
      <c r="F107" s="40"/>
      <c r="G107" s="40"/>
      <c r="H107" s="40"/>
      <c r="I107" s="40"/>
      <c r="J107" s="40"/>
      <c r="K107" s="8"/>
      <c r="L107" s="8"/>
      <c r="M107" s="41"/>
      <c r="N107" s="8"/>
      <c r="O107" s="8"/>
      <c r="P107" s="8"/>
      <c r="Q107" s="8"/>
      <c r="R107" s="8"/>
      <c r="S107" s="8"/>
      <c r="T107" s="8"/>
      <c r="U107" s="8"/>
      <c r="V107" s="8"/>
    </row>
    <row r="108" spans="1:22" x14ac:dyDescent="0.25">
      <c r="A108" s="8"/>
      <c r="B108" s="8"/>
      <c r="C108" s="40"/>
      <c r="D108" s="40"/>
      <c r="E108" s="40"/>
      <c r="F108" s="40"/>
      <c r="G108" s="40"/>
      <c r="H108" s="40"/>
      <c r="I108" s="40"/>
      <c r="J108" s="40"/>
      <c r="K108" s="8"/>
      <c r="L108" s="8"/>
      <c r="M108" s="41"/>
      <c r="N108" s="8"/>
      <c r="O108" s="8"/>
      <c r="P108" s="8"/>
      <c r="Q108" s="8"/>
      <c r="R108" s="8"/>
      <c r="S108" s="8"/>
      <c r="T108" s="8"/>
      <c r="U108" s="8"/>
      <c r="V108" s="8"/>
    </row>
    <row r="109" spans="1:22" x14ac:dyDescent="0.25">
      <c r="A109" s="8"/>
      <c r="B109" s="8"/>
      <c r="C109" s="40"/>
      <c r="D109" s="40"/>
      <c r="E109" s="40"/>
      <c r="F109" s="40"/>
      <c r="G109" s="40"/>
      <c r="H109" s="40"/>
      <c r="I109" s="40"/>
      <c r="J109" s="40"/>
      <c r="K109" s="8"/>
      <c r="L109" s="8"/>
      <c r="M109" s="41"/>
      <c r="N109" s="8"/>
      <c r="O109" s="8"/>
      <c r="P109" s="8"/>
      <c r="Q109" s="8"/>
      <c r="R109" s="8"/>
      <c r="S109" s="8"/>
      <c r="T109" s="8"/>
      <c r="U109" s="8"/>
      <c r="V109" s="8"/>
    </row>
    <row r="110" spans="1:22" x14ac:dyDescent="0.25">
      <c r="A110" s="8"/>
      <c r="B110" s="8"/>
      <c r="C110" s="40"/>
      <c r="D110" s="40"/>
      <c r="E110" s="40"/>
      <c r="F110" s="40"/>
      <c r="G110" s="40"/>
      <c r="H110" s="40"/>
      <c r="I110" s="40"/>
      <c r="J110" s="40"/>
      <c r="K110" s="8"/>
      <c r="L110" s="8"/>
      <c r="M110" s="41"/>
      <c r="N110" s="8"/>
      <c r="O110" s="8"/>
      <c r="P110" s="8"/>
      <c r="Q110" s="8"/>
      <c r="R110" s="8"/>
      <c r="S110" s="8"/>
      <c r="T110" s="8"/>
      <c r="U110" s="8"/>
      <c r="V110" s="8"/>
    </row>
    <row r="111" spans="1:22" x14ac:dyDescent="0.25">
      <c r="A111" s="8"/>
      <c r="B111" s="8"/>
      <c r="C111" s="40"/>
      <c r="D111" s="40"/>
      <c r="E111" s="40"/>
      <c r="F111" s="40"/>
      <c r="G111" s="40"/>
      <c r="H111" s="40"/>
      <c r="I111" s="40"/>
      <c r="J111" s="40"/>
      <c r="K111" s="8"/>
      <c r="L111" s="8"/>
      <c r="M111" s="41"/>
      <c r="N111" s="8"/>
      <c r="O111" s="8"/>
      <c r="P111" s="8"/>
      <c r="Q111" s="8"/>
      <c r="R111" s="8"/>
      <c r="S111" s="8"/>
      <c r="T111" s="8"/>
      <c r="U111" s="8"/>
      <c r="V111" s="8"/>
    </row>
    <row r="112" spans="1:22" x14ac:dyDescent="0.25">
      <c r="A112" s="8"/>
      <c r="B112" s="8"/>
      <c r="C112" s="40"/>
      <c r="D112" s="40"/>
      <c r="E112" s="40"/>
      <c r="F112" s="40"/>
      <c r="G112" s="40"/>
      <c r="H112" s="40"/>
      <c r="I112" s="40"/>
      <c r="J112" s="40"/>
      <c r="K112" s="8"/>
      <c r="L112" s="8"/>
      <c r="M112" s="41"/>
      <c r="N112" s="8"/>
      <c r="O112" s="8"/>
      <c r="P112" s="8"/>
      <c r="Q112" s="8"/>
      <c r="R112" s="8"/>
      <c r="S112" s="8"/>
      <c r="T112" s="8"/>
      <c r="U112" s="8"/>
      <c r="V112" s="8"/>
    </row>
  </sheetData>
  <mergeCells count="1">
    <mergeCell ref="Q1:V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CAPAIAN NON ASSET</vt:lpstr>
      <vt:lpstr>DISPO SLA</vt:lpstr>
      <vt:lpstr>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SEKRETARIAT</dc:creator>
  <cp:lastModifiedBy>BDO SEKRETARIAT</cp:lastModifiedBy>
  <cp:lastPrinted>2026-06-29T07:46:09Z</cp:lastPrinted>
  <dcterms:created xsi:type="dcterms:W3CDTF">2025-01-02T01:46:40Z</dcterms:created>
  <dcterms:modified xsi:type="dcterms:W3CDTF">2026-09-30T09:43:35Z</dcterms:modified>
</cp:coreProperties>
</file>